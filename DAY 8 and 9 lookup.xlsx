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96b87431bf9f39/Desktop/Data_Analytics/"/>
    </mc:Choice>
  </mc:AlternateContent>
  <xr:revisionPtr revIDLastSave="2" documentId="13_ncr:1_{F474745A-0D89-425F-BEC0-3FAB8C2F9F2D}" xr6:coauthVersionLast="47" xr6:coauthVersionMax="47" xr10:uidLastSave="{B8AB6E26-1950-4443-B372-E46E1DB6FDC3}"/>
  <bookViews>
    <workbookView xWindow="-108" yWindow="-108" windowWidth="23256" windowHeight="12456" xr2:uid="{A57E36AF-A7A0-4C40-B630-36C35E754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K8" i="1"/>
  <c r="T10" i="1" s="1"/>
  <c r="U16" i="1"/>
  <c r="T16" i="1"/>
  <c r="T8" i="1"/>
  <c r="T9" i="1"/>
  <c r="O8" i="1"/>
  <c r="K25" i="1" a="1"/>
  <c r="K25" i="1" s="1"/>
  <c r="G21" i="1" a="1"/>
  <c r="G21" i="1" s="1"/>
  <c r="H21" i="1"/>
  <c r="G19" i="1"/>
  <c r="H19" i="1" a="1"/>
  <c r="H19" i="1" s="1"/>
  <c r="AH12" i="1"/>
  <c r="O26" i="1"/>
  <c r="N26" i="1"/>
  <c r="T17" i="1"/>
  <c r="H17" i="1"/>
  <c r="P14" i="1" a="1"/>
  <c r="P14" i="1" s="1"/>
  <c r="P13" i="1"/>
  <c r="P12" i="1" a="1"/>
  <c r="P12" i="1" s="1"/>
  <c r="O10" i="1"/>
  <c r="O9" i="1"/>
  <c r="AB20" i="1"/>
  <c r="N8" i="1"/>
  <c r="U17" i="1"/>
  <c r="T18" i="1"/>
  <c r="P10" i="1"/>
  <c r="O11" i="1"/>
  <c r="AE20" i="1"/>
  <c r="AF20" i="1"/>
  <c r="AD20" i="1"/>
  <c r="AB19" i="1"/>
  <c r="AC19" i="1"/>
  <c r="AD19" i="1"/>
  <c r="AE19" i="1"/>
  <c r="N9" i="1"/>
  <c r="N10" i="1"/>
  <c r="N11" i="1"/>
  <c r="N12" i="1"/>
  <c r="N13" i="1"/>
  <c r="N14" i="1"/>
  <c r="M8" i="1"/>
  <c r="M9" i="1"/>
  <c r="U18" i="1" s="1"/>
  <c r="M10" i="1"/>
  <c r="M11" i="1"/>
  <c r="M12" i="1"/>
  <c r="M13" i="1"/>
  <c r="M14" i="1"/>
  <c r="L9" i="1"/>
  <c r="L10" i="1"/>
  <c r="L11" i="1"/>
  <c r="L12" i="1"/>
  <c r="L13" i="1"/>
  <c r="L14" i="1"/>
  <c r="L8" i="1"/>
  <c r="K9" i="1"/>
  <c r="K10" i="1"/>
  <c r="K11" i="1"/>
  <c r="K12" i="1"/>
  <c r="K13" i="1"/>
  <c r="K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<sst xmlns="http://schemas.openxmlformats.org/spreadsheetml/2006/main" count="62" uniqueCount="24">
  <si>
    <t>SHOPNAME</t>
  </si>
  <si>
    <t>MANGO</t>
  </si>
  <si>
    <t>ORANGE</t>
  </si>
  <si>
    <t>APPLE</t>
  </si>
  <si>
    <t>CUSTERD APPLE</t>
  </si>
  <si>
    <t>KIWI</t>
  </si>
  <si>
    <t>STAWBERRY</t>
  </si>
  <si>
    <t>GRAPES</t>
  </si>
  <si>
    <t>PINEAPPLE</t>
  </si>
  <si>
    <t>GUVA</t>
  </si>
  <si>
    <t>WATERMELAN</t>
  </si>
  <si>
    <t>REALENCE</t>
  </si>
  <si>
    <t>VISHAL</t>
  </si>
  <si>
    <t>DMART</t>
  </si>
  <si>
    <t>SMART</t>
  </si>
  <si>
    <t>SHOP1</t>
  </si>
  <si>
    <t>SHOP2</t>
  </si>
  <si>
    <t>SHOP3</t>
  </si>
  <si>
    <t>PINAPPLE</t>
  </si>
  <si>
    <t>SUMIT</t>
  </si>
  <si>
    <t>INDEX</t>
  </si>
  <si>
    <t>MATCH</t>
  </si>
  <si>
    <t>ROW</t>
  </si>
  <si>
    <t>COLUME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</si>
</sst>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2" borderId="2" xfId="0" applyFill="1" applyBorder="1"/>
    <xf numFmtId="0" fontId="0" fillId="4" borderId="1" xfId="0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F59C-3E58-4893-BCFA-FF3ECA17B672}">
  <dimension ref="D7:AK31"/>
  <sheetViews>
    <sheetView tabSelected="1" topLeftCell="A5" zoomScale="78" workbookViewId="0">
      <selection activeCell="Q6" sqref="Q6"/>
    </sheetView>
  </sheetViews>
  <sheetFormatPr defaultRowHeight="14.4" x14ac:dyDescent="0.3"/>
  <cols>
    <col min="4" max="4" width="10.5546875" bestFit="1" customWidth="1"/>
    <col min="6" max="6" width="9.88671875" bestFit="1" customWidth="1"/>
    <col min="7" max="7" width="13.109375" bestFit="1" customWidth="1"/>
    <col min="8" max="8" width="14.21875" bestFit="1" customWidth="1"/>
    <col min="10" max="10" width="11.109375" bestFit="1" customWidth="1"/>
    <col min="12" max="12" width="9.88671875" bestFit="1" customWidth="1"/>
    <col min="13" max="13" width="13.109375" bestFit="1" customWidth="1"/>
    <col min="26" max="26" width="10.5546875" bestFit="1" customWidth="1"/>
    <col min="27" max="27" width="13.109375" bestFit="1" customWidth="1"/>
    <col min="31" max="31" width="14.44140625" bestFit="1" customWidth="1"/>
    <col min="33" max="33" width="11.109375" bestFit="1" customWidth="1"/>
  </cols>
  <sheetData>
    <row r="7" spans="4:37" x14ac:dyDescent="0.3"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2" t="s">
        <v>10</v>
      </c>
      <c r="N7" s="2" t="s">
        <v>9</v>
      </c>
    </row>
    <row r="8" spans="4:37" x14ac:dyDescent="0.3">
      <c r="D8" s="5" t="s">
        <v>11</v>
      </c>
      <c r="E8" s="1">
        <v>43</v>
      </c>
      <c r="F8" s="1">
        <v>128</v>
      </c>
      <c r="G8" s="1">
        <v>108</v>
      </c>
      <c r="H8" s="1">
        <v>83</v>
      </c>
      <c r="I8" s="1">
        <v>107</v>
      </c>
      <c r="J8" s="1">
        <v>53</v>
      </c>
      <c r="K8" s="1">
        <f>VLOOKUP(D8,D24:H31,2,FALSE)</f>
        <v>82</v>
      </c>
      <c r="L8" s="1">
        <f>VLOOKUP(D8,D24:I31,3,FALSE)</f>
        <v>33</v>
      </c>
      <c r="M8">
        <f>VLOOKUP(D8,D24:H31,4,FALSE)</f>
        <v>104</v>
      </c>
      <c r="N8" s="1">
        <f>VLOOKUP(D8,D24:H31,5,FALSE)</f>
        <v>44</v>
      </c>
      <c r="O8">
        <f>VLOOKUP(D8,D24:I31,2,FALSE)</f>
        <v>82</v>
      </c>
      <c r="P8">
        <f>HLOOKUP(K7,D24:H31,2,FALSE)</f>
        <v>82</v>
      </c>
      <c r="R8" s="6" t="s">
        <v>20</v>
      </c>
      <c r="S8">
        <v>173</v>
      </c>
      <c r="T8">
        <f>INDEX(D7:N14,3,6)</f>
        <v>173</v>
      </c>
    </row>
    <row r="9" spans="4:37" x14ac:dyDescent="0.3">
      <c r="D9" s="5" t="s">
        <v>12</v>
      </c>
      <c r="E9" s="1">
        <v>176</v>
      </c>
      <c r="F9" s="1">
        <v>108</v>
      </c>
      <c r="G9" s="1">
        <v>119</v>
      </c>
      <c r="H9" s="1">
        <v>27</v>
      </c>
      <c r="I9" s="1">
        <v>173</v>
      </c>
      <c r="J9" s="1">
        <v>128</v>
      </c>
      <c r="K9" s="1">
        <f t="shared" ref="K9:K14" si="0">VLOOKUP(D9,D25:H32,2,FALSE)</f>
        <v>42</v>
      </c>
      <c r="L9" s="1">
        <f t="shared" ref="L9:L14" si="1">VLOOKUP(D9,D25:I32,3,FALSE)</f>
        <v>44</v>
      </c>
      <c r="M9" s="1">
        <f>VLOOKUP(D9,D24:H31,4,FALSE)</f>
        <v>82</v>
      </c>
      <c r="N9" s="1">
        <f t="shared" ref="N9:N14" si="2">VLOOKUP(D9,D25:H32,5,FALSE)</f>
        <v>100</v>
      </c>
      <c r="O9">
        <f>VLOOKUP(D9,D24:H31,2,FALSE)</f>
        <v>42</v>
      </c>
      <c r="S9">
        <v>55</v>
      </c>
      <c r="T9">
        <f>INDEX(D7:N14,6,5)</f>
        <v>55</v>
      </c>
    </row>
    <row r="10" spans="4:37" x14ac:dyDescent="0.3">
      <c r="D10" s="5" t="s">
        <v>13</v>
      </c>
      <c r="E10" s="1">
        <v>139</v>
      </c>
      <c r="F10" s="1">
        <v>109</v>
      </c>
      <c r="G10" s="1">
        <v>135</v>
      </c>
      <c r="H10" s="1">
        <v>141</v>
      </c>
      <c r="I10" s="1">
        <v>73</v>
      </c>
      <c r="J10" s="1">
        <v>151</v>
      </c>
      <c r="K10" s="1">
        <f t="shared" si="0"/>
        <v>87</v>
      </c>
      <c r="L10" s="1">
        <f t="shared" si="1"/>
        <v>95</v>
      </c>
      <c r="M10" s="1">
        <f t="shared" ref="M10:M14" si="3">VLOOKUP(D10,D25:H32,4,FALSE)</f>
        <v>41</v>
      </c>
      <c r="N10" s="1">
        <f t="shared" si="2"/>
        <v>92</v>
      </c>
      <c r="O10">
        <f>HLOOKUP(K7,D24:H30,2,FALSE)</f>
        <v>82</v>
      </c>
      <c r="P10">
        <f>HLOOKUP(M7,D24:H31,4,FALSE)</f>
        <v>41</v>
      </c>
      <c r="S10">
        <v>82</v>
      </c>
      <c r="T10">
        <f>INDEX(D7:N14,2,8)</f>
        <v>82</v>
      </c>
    </row>
    <row r="11" spans="4:37" x14ac:dyDescent="0.3">
      <c r="D11" s="5" t="s">
        <v>14</v>
      </c>
      <c r="E11" s="1">
        <v>73</v>
      </c>
      <c r="F11" s="1">
        <v>59</v>
      </c>
      <c r="G11" s="1">
        <v>34</v>
      </c>
      <c r="H11" s="1">
        <v>82</v>
      </c>
      <c r="I11" s="1">
        <v>46</v>
      </c>
      <c r="J11" s="1">
        <v>58</v>
      </c>
      <c r="K11" s="1">
        <f t="shared" si="0"/>
        <v>47</v>
      </c>
      <c r="L11" s="1">
        <f t="shared" si="1"/>
        <v>23</v>
      </c>
      <c r="M11" s="1">
        <f t="shared" si="3"/>
        <v>64</v>
      </c>
      <c r="N11" s="1">
        <f t="shared" si="2"/>
        <v>24</v>
      </c>
      <c r="O11">
        <f>HLOOKUP(L7,D24:H31,6,FALSE)</f>
        <v>71</v>
      </c>
      <c r="AA11" s="2" t="s">
        <v>0</v>
      </c>
      <c r="AB11" s="2" t="s">
        <v>1</v>
      </c>
      <c r="AC11" s="2" t="s">
        <v>2</v>
      </c>
      <c r="AD11" s="2" t="s">
        <v>3</v>
      </c>
      <c r="AE11" s="2" t="s">
        <v>4</v>
      </c>
      <c r="AF11" s="2" t="s">
        <v>5</v>
      </c>
      <c r="AG11" s="2" t="s">
        <v>6</v>
      </c>
      <c r="AH11" s="2"/>
      <c r="AI11" s="2"/>
      <c r="AJ11" s="2"/>
      <c r="AK11" s="2"/>
    </row>
    <row r="12" spans="4:37" x14ac:dyDescent="0.3">
      <c r="D12" s="5" t="s">
        <v>15</v>
      </c>
      <c r="E12" s="1">
        <v>121</v>
      </c>
      <c r="F12" s="1">
        <v>131</v>
      </c>
      <c r="G12" s="1">
        <v>105</v>
      </c>
      <c r="H12" s="1">
        <v>55</v>
      </c>
      <c r="I12" s="1">
        <v>169</v>
      </c>
      <c r="J12" s="1">
        <v>23</v>
      </c>
      <c r="K12" s="1">
        <f t="shared" si="0"/>
        <v>108</v>
      </c>
      <c r="L12" s="1">
        <f t="shared" si="1"/>
        <v>71</v>
      </c>
      <c r="M12" s="1">
        <f t="shared" si="3"/>
        <v>102</v>
      </c>
      <c r="N12" s="1">
        <f t="shared" si="2"/>
        <v>111</v>
      </c>
      <c r="P12" t="e" cm="1">
        <f t="array" ref="P12">h</f>
        <v>#NAME?</v>
      </c>
      <c r="AA12" s="2" t="s">
        <v>11</v>
      </c>
      <c r="AB12" s="1">
        <v>43</v>
      </c>
      <c r="AC12" s="1">
        <v>128</v>
      </c>
      <c r="AD12" s="1">
        <v>108</v>
      </c>
      <c r="AE12" s="1">
        <v>83</v>
      </c>
      <c r="AF12" s="1">
        <v>107</v>
      </c>
      <c r="AG12" s="1">
        <v>53</v>
      </c>
      <c r="AH12" s="1" t="e">
        <f>HLOOKUP(AG11,AA24:AF28,2,FALSE)</f>
        <v>#N/A</v>
      </c>
      <c r="AI12" s="1"/>
      <c r="AK12" s="1"/>
    </row>
    <row r="13" spans="4:37" x14ac:dyDescent="0.3">
      <c r="D13" s="5" t="s">
        <v>16</v>
      </c>
      <c r="E13" s="1">
        <v>174</v>
      </c>
      <c r="F13" s="1">
        <v>123</v>
      </c>
      <c r="G13" s="1">
        <v>79</v>
      </c>
      <c r="H13" s="1">
        <v>79</v>
      </c>
      <c r="I13" s="1">
        <v>84</v>
      </c>
      <c r="J13" s="1">
        <v>57</v>
      </c>
      <c r="K13" s="1">
        <f t="shared" si="0"/>
        <v>26</v>
      </c>
      <c r="L13" s="1">
        <f t="shared" si="1"/>
        <v>54</v>
      </c>
      <c r="M13" s="1">
        <f t="shared" si="3"/>
        <v>60</v>
      </c>
      <c r="N13" s="1">
        <f t="shared" si="2"/>
        <v>101</v>
      </c>
      <c r="P13">
        <f>HLOOKUP(L7,D24:H30,3,FALSE)</f>
        <v>44</v>
      </c>
      <c r="AA13" s="2" t="s">
        <v>12</v>
      </c>
      <c r="AB13" s="1">
        <v>176</v>
      </c>
      <c r="AC13" s="1">
        <v>108</v>
      </c>
      <c r="AD13" s="1">
        <v>119</v>
      </c>
      <c r="AE13" s="1">
        <v>27</v>
      </c>
      <c r="AF13" s="1">
        <v>173</v>
      </c>
      <c r="AG13" s="1">
        <v>128</v>
      </c>
      <c r="AH13" s="1"/>
      <c r="AI13" s="1"/>
      <c r="AJ13" s="1"/>
      <c r="AK13" s="1"/>
    </row>
    <row r="14" spans="4:37" x14ac:dyDescent="0.3">
      <c r="D14" s="5" t="s">
        <v>17</v>
      </c>
      <c r="E14" s="1">
        <v>83</v>
      </c>
      <c r="F14" s="1">
        <v>94</v>
      </c>
      <c r="G14" s="1">
        <v>40</v>
      </c>
      <c r="H14" s="1">
        <v>149</v>
      </c>
      <c r="I14" s="1">
        <v>81</v>
      </c>
      <c r="J14" s="1">
        <v>156</v>
      </c>
      <c r="K14" s="1">
        <f t="shared" si="0"/>
        <v>29</v>
      </c>
      <c r="L14" s="1">
        <f t="shared" si="1"/>
        <v>25</v>
      </c>
      <c r="M14" s="1">
        <f t="shared" si="3"/>
        <v>51</v>
      </c>
      <c r="N14" s="1">
        <f t="shared" si="2"/>
        <v>60</v>
      </c>
      <c r="P14" t="e" cm="1">
        <f t="array" ref="P14">xl</f>
        <v>#NAME?</v>
      </c>
      <c r="AA14" s="2" t="s">
        <v>13</v>
      </c>
      <c r="AB14" s="1">
        <v>139</v>
      </c>
      <c r="AC14" s="1">
        <v>109</v>
      </c>
      <c r="AD14" s="1">
        <v>135</v>
      </c>
      <c r="AE14" s="1">
        <v>141</v>
      </c>
      <c r="AF14" s="1">
        <v>73</v>
      </c>
      <c r="AG14" s="1">
        <v>151</v>
      </c>
      <c r="AH14" s="1"/>
      <c r="AI14" s="1"/>
      <c r="AJ14" s="1"/>
      <c r="AK14" s="1"/>
    </row>
    <row r="15" spans="4:37" x14ac:dyDescent="0.3">
      <c r="D15" s="3"/>
      <c r="T15" t="s">
        <v>22</v>
      </c>
      <c r="U15" t="s">
        <v>23</v>
      </c>
      <c r="AA15" s="2" t="s">
        <v>14</v>
      </c>
      <c r="AB15" s="1">
        <v>73</v>
      </c>
      <c r="AC15" s="1">
        <v>59</v>
      </c>
      <c r="AD15" s="1">
        <v>34</v>
      </c>
      <c r="AE15" s="1">
        <v>82</v>
      </c>
      <c r="AF15" s="1">
        <v>46</v>
      </c>
      <c r="AG15" s="1">
        <v>58</v>
      </c>
      <c r="AH15" s="1"/>
      <c r="AI15" s="1"/>
      <c r="AJ15" s="1"/>
      <c r="AK15" s="1"/>
    </row>
    <row r="16" spans="4:37" x14ac:dyDescent="0.3">
      <c r="D16" s="3"/>
      <c r="R16" s="6" t="s">
        <v>21</v>
      </c>
      <c r="S16">
        <v>173</v>
      </c>
      <c r="T16">
        <f>MATCH(S16,I7:I14,0)</f>
        <v>3</v>
      </c>
      <c r="U16">
        <f>MATCH(S16,$D$9:$N$9,0)</f>
        <v>6</v>
      </c>
      <c r="AA16" s="2" t="s">
        <v>15</v>
      </c>
      <c r="AB16" s="1">
        <v>121</v>
      </c>
      <c r="AC16" s="1">
        <v>131</v>
      </c>
      <c r="AD16" s="1">
        <v>105</v>
      </c>
      <c r="AE16" s="1">
        <v>55</v>
      </c>
      <c r="AF16" s="1">
        <v>169</v>
      </c>
      <c r="AG16" s="1">
        <v>23</v>
      </c>
      <c r="AH16" s="1"/>
      <c r="AI16" s="1"/>
      <c r="AJ16" s="1"/>
      <c r="AK16" s="1"/>
    </row>
    <row r="17" spans="4:37" x14ac:dyDescent="0.3">
      <c r="D17" s="3"/>
      <c r="H17">
        <f>_xlfn.XLOOKUP(D10,D7:D14,E7:E14,"piyush",0)</f>
        <v>139</v>
      </c>
      <c r="S17">
        <v>55</v>
      </c>
      <c r="T17">
        <f>MATCH(S17,H7:H14,0)</f>
        <v>6</v>
      </c>
      <c r="U17">
        <f>MATCH(S17,D12:N12,0)</f>
        <v>5</v>
      </c>
      <c r="AA17" s="2" t="s">
        <v>16</v>
      </c>
      <c r="AB17" s="1">
        <v>174</v>
      </c>
      <c r="AC17" s="1">
        <v>123</v>
      </c>
      <c r="AD17" s="1">
        <v>79</v>
      </c>
      <c r="AE17" s="1">
        <v>79</v>
      </c>
      <c r="AF17" s="1">
        <v>84</v>
      </c>
      <c r="AG17" s="1">
        <v>57</v>
      </c>
      <c r="AH17" s="1"/>
      <c r="AI17" s="1"/>
      <c r="AJ17" s="1"/>
      <c r="AK17" s="1"/>
    </row>
    <row r="18" spans="4:37" x14ac:dyDescent="0.3">
      <c r="D18" s="3"/>
      <c r="S18">
        <v>82</v>
      </c>
      <c r="T18">
        <f>MATCH(S18,H8:H15,0)</f>
        <v>4</v>
      </c>
      <c r="U18">
        <f>MATCH(S18,$D$9:$N$9,0)</f>
        <v>10</v>
      </c>
      <c r="AA18" s="2" t="s">
        <v>17</v>
      </c>
      <c r="AB18" s="1">
        <v>83</v>
      </c>
      <c r="AC18" s="1">
        <v>94</v>
      </c>
      <c r="AD18" s="1">
        <v>40</v>
      </c>
      <c r="AE18" s="1">
        <v>149</v>
      </c>
      <c r="AF18" s="1">
        <v>81</v>
      </c>
      <c r="AG18" s="1">
        <v>156</v>
      </c>
      <c r="AH18" s="1"/>
      <c r="AI18" s="1"/>
      <c r="AJ18" s="1"/>
      <c r="AK18" s="1"/>
    </row>
    <row r="19" spans="4:37" x14ac:dyDescent="0.3">
      <c r="D19" s="3"/>
      <c r="G19">
        <f>_xlfn.XLOOKUP(D12,D7:D14,E7:E14,"piyush",0)</f>
        <v>121</v>
      </c>
      <c r="H19" cm="1">
        <f t="array" ref="H19:Q19">_xlfn.XLOOKUP(D13,D7:D14,E7:N14,"piyush",0)</f>
        <v>174</v>
      </c>
      <c r="I19">
        <v>123</v>
      </c>
      <c r="J19">
        <v>79</v>
      </c>
      <c r="K19">
        <v>79</v>
      </c>
      <c r="L19">
        <v>84</v>
      </c>
      <c r="M19">
        <v>57</v>
      </c>
      <c r="N19">
        <v>26</v>
      </c>
      <c r="O19">
        <v>54</v>
      </c>
      <c r="P19">
        <v>60</v>
      </c>
      <c r="Q19">
        <v>101</v>
      </c>
      <c r="AA19" s="4" t="s">
        <v>7</v>
      </c>
      <c r="AB19">
        <f>HLOOKUP(AB11,$AA$24:$AF$29,2,FALSE)</f>
        <v>82</v>
      </c>
      <c r="AC19">
        <f t="shared" ref="AC19:AE19" si="4">HLOOKUP(AC11,$AA$24:$AF$29,2,FALSE)</f>
        <v>33</v>
      </c>
      <c r="AD19">
        <f t="shared" si="4"/>
        <v>104</v>
      </c>
      <c r="AE19">
        <f t="shared" si="4"/>
        <v>44</v>
      </c>
    </row>
    <row r="20" spans="4:37" x14ac:dyDescent="0.3">
      <c r="D20" s="3"/>
      <c r="AA20" s="4" t="s">
        <v>18</v>
      </c>
      <c r="AB20">
        <f>HLOOKUP(AB11,AA24:AF28,3,FALSE)</f>
        <v>42</v>
      </c>
      <c r="AD20">
        <f>HLOOKUP(AC11,AA24:AF28,2,FALSE)</f>
        <v>33</v>
      </c>
      <c r="AE20">
        <f t="shared" ref="AE20:AF20" si="5">HLOOKUP(AD11,AB24:AG28,2,FALSE)</f>
        <v>104</v>
      </c>
      <c r="AF20">
        <f t="shared" si="5"/>
        <v>44</v>
      </c>
    </row>
    <row r="21" spans="4:37" x14ac:dyDescent="0.3">
      <c r="D21" s="3"/>
      <c r="G21" t="e" cm="1" vm="1">
        <f t="array" aca="1" ref="G21" ca="1">_xlfn.XLOOKUP(D10,D7:D14,E24:G31,"na",0)</f>
        <v>#VALUE!</v>
      </c>
      <c r="H21">
        <f>HLOOKUP(L7,D24:H31,2,FALSE)</f>
        <v>33</v>
      </c>
      <c r="K21">
        <v>1</v>
      </c>
      <c r="AA21" s="4" t="s">
        <v>10</v>
      </c>
    </row>
    <row r="22" spans="4:37" x14ac:dyDescent="0.3">
      <c r="D22" s="3"/>
      <c r="K22">
        <v>2</v>
      </c>
      <c r="AA22" s="4" t="s">
        <v>9</v>
      </c>
    </row>
    <row r="23" spans="4:37" x14ac:dyDescent="0.3">
      <c r="D23" s="3"/>
    </row>
    <row r="24" spans="4:37" x14ac:dyDescent="0.3">
      <c r="D24" s="2" t="s">
        <v>0</v>
      </c>
      <c r="E24" s="2" t="s">
        <v>7</v>
      </c>
      <c r="F24" s="2" t="s">
        <v>8</v>
      </c>
      <c r="G24" s="2" t="s">
        <v>10</v>
      </c>
      <c r="H24" s="2" t="s">
        <v>9</v>
      </c>
      <c r="I24" s="2"/>
      <c r="Z24" s="3"/>
      <c r="AA24" s="2" t="s">
        <v>0</v>
      </c>
      <c r="AB24" s="2" t="s">
        <v>1</v>
      </c>
      <c r="AC24" s="2" t="s">
        <v>2</v>
      </c>
      <c r="AD24" s="2" t="s">
        <v>3</v>
      </c>
      <c r="AE24" s="2" t="s">
        <v>4</v>
      </c>
      <c r="AF24" s="2" t="s">
        <v>19</v>
      </c>
    </row>
    <row r="25" spans="4:37" x14ac:dyDescent="0.3">
      <c r="D25" s="5" t="s">
        <v>11</v>
      </c>
      <c r="E25" s="1">
        <v>82</v>
      </c>
      <c r="F25" s="1">
        <v>33</v>
      </c>
      <c r="G25" s="1">
        <v>104</v>
      </c>
      <c r="H25" s="1">
        <v>44</v>
      </c>
      <c r="I25" s="1"/>
      <c r="K25" cm="1">
        <f t="array" ref="K25:M25">_xlfn.XLOOKUP(D27,D24:D31,E24:G31,"NA",0)</f>
        <v>87</v>
      </c>
      <c r="L25">
        <v>95</v>
      </c>
      <c r="M25">
        <v>41</v>
      </c>
      <c r="Z25" s="3"/>
      <c r="AA25" s="2" t="s">
        <v>7</v>
      </c>
      <c r="AB25" s="1">
        <v>82</v>
      </c>
      <c r="AC25" s="1">
        <v>33</v>
      </c>
      <c r="AD25" s="1">
        <v>104</v>
      </c>
      <c r="AE25" s="1">
        <v>44</v>
      </c>
      <c r="AF25" s="1">
        <v>12</v>
      </c>
    </row>
    <row r="26" spans="4:37" x14ac:dyDescent="0.3">
      <c r="D26" s="5" t="s">
        <v>12</v>
      </c>
      <c r="E26" s="1">
        <v>42</v>
      </c>
      <c r="F26" s="1">
        <v>44</v>
      </c>
      <c r="G26" s="1">
        <v>82</v>
      </c>
      <c r="H26" s="1">
        <v>100</v>
      </c>
      <c r="I26" s="1"/>
      <c r="N26">
        <f>VLOOKUP(D8,D24:H31,2,FALSE)</f>
        <v>82</v>
      </c>
      <c r="O26">
        <f>HLOOKUP(K7,D24:H31,3,FALSE)</f>
        <v>42</v>
      </c>
      <c r="Z26" s="3"/>
      <c r="AA26" s="2" t="s">
        <v>18</v>
      </c>
      <c r="AB26" s="1">
        <v>42</v>
      </c>
      <c r="AC26" s="1">
        <v>44</v>
      </c>
      <c r="AD26" s="1">
        <v>82</v>
      </c>
      <c r="AE26" s="1">
        <v>100</v>
      </c>
      <c r="AF26" s="1">
        <v>45</v>
      </c>
    </row>
    <row r="27" spans="4:37" x14ac:dyDescent="0.3">
      <c r="D27" s="5" t="s">
        <v>13</v>
      </c>
      <c r="E27" s="1">
        <v>87</v>
      </c>
      <c r="F27" s="1">
        <v>95</v>
      </c>
      <c r="G27" s="1">
        <v>41</v>
      </c>
      <c r="H27" s="1">
        <v>92</v>
      </c>
      <c r="I27" s="1"/>
      <c r="Z27" s="3"/>
      <c r="AA27" s="2" t="s">
        <v>10</v>
      </c>
      <c r="AB27" s="1">
        <v>87</v>
      </c>
      <c r="AC27" s="1">
        <v>95</v>
      </c>
      <c r="AD27" s="1">
        <v>41</v>
      </c>
      <c r="AE27" s="1">
        <v>92</v>
      </c>
      <c r="AF27" s="1">
        <v>78</v>
      </c>
    </row>
    <row r="28" spans="4:37" x14ac:dyDescent="0.3">
      <c r="D28" s="5" t="s">
        <v>14</v>
      </c>
      <c r="E28" s="1">
        <v>47</v>
      </c>
      <c r="F28" s="1">
        <v>23</v>
      </c>
      <c r="G28" s="1">
        <v>64</v>
      </c>
      <c r="H28" s="1">
        <v>24</v>
      </c>
      <c r="I28" s="1"/>
      <c r="Z28" s="3"/>
      <c r="AA28" s="2" t="s">
        <v>9</v>
      </c>
      <c r="AB28" s="1">
        <v>47</v>
      </c>
      <c r="AC28" s="1">
        <v>23</v>
      </c>
      <c r="AD28" s="1">
        <v>64</v>
      </c>
      <c r="AE28" s="1">
        <v>24</v>
      </c>
      <c r="AF28" s="1">
        <v>74</v>
      </c>
    </row>
    <row r="29" spans="4:37" x14ac:dyDescent="0.3">
      <c r="D29" s="5" t="s">
        <v>15</v>
      </c>
      <c r="E29" s="1">
        <v>108</v>
      </c>
      <c r="F29" s="1">
        <v>71</v>
      </c>
      <c r="G29" s="1">
        <v>102</v>
      </c>
      <c r="H29" s="1">
        <v>111</v>
      </c>
      <c r="I29" s="1"/>
      <c r="Z29" s="3"/>
      <c r="AA29" s="2"/>
      <c r="AB29" s="1"/>
      <c r="AC29" s="1"/>
      <c r="AD29" s="1"/>
      <c r="AE29" s="1"/>
      <c r="AF29" s="1"/>
    </row>
    <row r="30" spans="4:37" x14ac:dyDescent="0.3">
      <c r="D30" s="5" t="s">
        <v>16</v>
      </c>
      <c r="E30" s="1">
        <v>26</v>
      </c>
      <c r="F30" s="1">
        <v>54</v>
      </c>
      <c r="G30" s="1">
        <v>60</v>
      </c>
      <c r="H30" s="1">
        <v>101</v>
      </c>
      <c r="I30" s="1"/>
      <c r="Z30" s="3"/>
      <c r="AA30" s="1"/>
      <c r="AB30" s="1"/>
      <c r="AC30" s="1"/>
      <c r="AD30" s="1"/>
      <c r="AE30" s="1"/>
      <c r="AF30" s="1"/>
    </row>
    <row r="31" spans="4:37" x14ac:dyDescent="0.3">
      <c r="D31" s="5" t="s">
        <v>17</v>
      </c>
      <c r="E31" s="1">
        <v>29</v>
      </c>
      <c r="F31" s="1">
        <v>25</v>
      </c>
      <c r="G31" s="1">
        <v>51</v>
      </c>
      <c r="H31" s="1">
        <v>60</v>
      </c>
      <c r="I31" s="1"/>
      <c r="Z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Mrunali Bind</dc:creator>
  <cp:lastModifiedBy>Mrunali Bind</cp:lastModifiedBy>
  <dcterms:created xsi:type="dcterms:W3CDTF">2025-12-18T07:26:26Z</dcterms:created>
  <dcterms:modified xsi:type="dcterms:W3CDTF">2026-01-03T07:48:00Z</dcterms:modified>
</cp:coreProperties>
</file>