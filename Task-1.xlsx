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runali\OneDrive\Desktop\Data_Analytics\"/>
    </mc:Choice>
  </mc:AlternateContent>
  <xr:revisionPtr revIDLastSave="0" documentId="13_ncr:1_{C27AC02F-FFD3-444C-BD80-279408FE513F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Q1" sheetId="2" r:id="rId1"/>
    <sheet name="Q2" sheetId="3" r:id="rId2"/>
    <sheet name="Q3" sheetId="12" r:id="rId3"/>
    <sheet name="Q4" sheetId="17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3" l="1"/>
  <c r="J12" i="13" a="1"/>
  <c r="J12" i="13" s="1"/>
  <c r="I12" i="13"/>
  <c r="H12" i="13"/>
  <c r="G6" i="15"/>
  <c r="M5" i="17"/>
  <c r="L5" i="17"/>
  <c r="J5" i="17"/>
  <c r="I5" i="17"/>
  <c r="P5" i="17"/>
  <c r="O5" i="17"/>
  <c r="N5" i="17"/>
  <c r="K5" i="17"/>
  <c r="H5" i="17"/>
  <c r="G5" i="17"/>
  <c r="F5" i="17"/>
  <c r="Q5" i="17"/>
  <c r="R5" i="17"/>
  <c r="S5" i="17"/>
  <c r="T5" i="17"/>
  <c r="U5" i="17"/>
  <c r="E5" i="17"/>
  <c r="D5" i="17"/>
  <c r="G6" i="6"/>
  <c r="G7" i="6"/>
  <c r="G8" i="6"/>
  <c r="G9" i="6"/>
  <c r="G10" i="6"/>
  <c r="G11" i="6"/>
  <c r="G12" i="6"/>
  <c r="G13" i="6"/>
  <c r="G14" i="6"/>
  <c r="G15" i="6"/>
  <c r="G16" i="6"/>
  <c r="G5" i="6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D6" i="6"/>
  <c r="D7" i="6"/>
  <c r="D8" i="6"/>
  <c r="D9" i="6"/>
  <c r="D10" i="6"/>
  <c r="D11" i="6"/>
  <c r="D12" i="6"/>
  <c r="D13" i="6"/>
  <c r="D14" i="6"/>
  <c r="D15" i="6"/>
  <c r="D16" i="6"/>
  <c r="D5" i="6"/>
  <c r="C6" i="6"/>
  <c r="C7" i="6"/>
  <c r="C8" i="6"/>
  <c r="C9" i="6"/>
  <c r="C10" i="6"/>
  <c r="C11" i="6"/>
  <c r="C12" i="6"/>
  <c r="C13" i="6"/>
  <c r="C14" i="6"/>
  <c r="C15" i="6"/>
  <c r="C16" i="6"/>
  <c r="C5" i="6"/>
  <c r="B6" i="6"/>
  <c r="B7" i="6"/>
  <c r="B8" i="6"/>
  <c r="B9" i="6"/>
  <c r="B10" i="6"/>
  <c r="B11" i="6"/>
  <c r="B12" i="6"/>
  <c r="B13" i="6"/>
  <c r="B14" i="6"/>
  <c r="B15" i="6"/>
  <c r="B16" i="6"/>
  <c r="B5" i="6"/>
  <c r="D2" i="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G6" i="16"/>
  <c r="G7" i="16"/>
  <c r="G8" i="16"/>
  <c r="G5" i="16"/>
  <c r="J8" i="16"/>
  <c r="G7" i="15"/>
  <c r="G8" i="15"/>
  <c r="G9" i="15"/>
  <c r="G10" i="15"/>
  <c r="G11" i="15"/>
  <c r="E6" i="9"/>
  <c r="E7" i="9"/>
  <c r="E8" i="9"/>
  <c r="E9" i="9"/>
  <c r="E10" i="9"/>
  <c r="E11" i="9"/>
  <c r="E5" i="9"/>
  <c r="D8" i="9"/>
  <c r="D9" i="9"/>
  <c r="D10" i="9"/>
  <c r="D11" i="9"/>
  <c r="D7" i="9"/>
  <c r="C8" i="9"/>
  <c r="C9" i="9"/>
  <c r="C10" i="9"/>
  <c r="C11" i="9"/>
  <c r="C7" i="9"/>
  <c r="G8" i="9"/>
  <c r="G9" i="9"/>
  <c r="G10" i="9"/>
  <c r="G11" i="9"/>
  <c r="G7" i="9"/>
  <c r="F7" i="9"/>
  <c r="C6" i="9"/>
  <c r="C5" i="9"/>
  <c r="B6" i="9"/>
  <c r="B7" i="9"/>
  <c r="B8" i="9"/>
  <c r="B9" i="9"/>
  <c r="B10" i="9"/>
  <c r="B11" i="9"/>
  <c r="B5" i="9"/>
  <c r="F6" i="9"/>
  <c r="F8" i="9"/>
  <c r="F9" i="9"/>
  <c r="F10" i="9"/>
  <c r="F11" i="9"/>
  <c r="F5" i="9"/>
  <c r="B2" i="3" a="1"/>
  <c r="B2" i="3" s="1"/>
  <c r="C5" i="1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<sst xmlns="http://schemas.openxmlformats.org/spreadsheetml/2006/main" count="167" uniqueCount="139">
  <si>
    <t>A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</si>
  <si>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</si>
  <si>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</si>
  <si>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</si>
  <si>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</si>
  <si>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</si>
  <si>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</si>
  <si>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</si>
  <si>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</si>
  <si>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</si>
  <si>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</si>
  <si>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</si>
  <si>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</si>
  <si>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</si>
  <si>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</si>
  <si>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</si>
  <si>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</si>
  <si>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</si>
  <si>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</si>
  <si>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</si>
  <si>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</si>
  <si>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</si>
  <si>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</si>
  <si>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</si>
  <si>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</si>
  <si>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</si>
  <si>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</si>
  <si>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</si>
  <si>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</si>
  <si>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</si>
  <si>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</si>
  <si>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</si>
  <si>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</si>
  <si>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</si>
  <si>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</si>
  <si>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</si>
  <si>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</si>
  <si>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</si>
  <si>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</si>
  <si>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</si>
  <si>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</si>
  <si>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</si>
  <si>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</si>
  <si>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</si>
  <si>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</si>
  <si>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</si>
  <si>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</si>
  <si>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</si>
  <si>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</si>
  <si>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</si>
  <si>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</si>
  <si>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</si>
  <si>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</si>
  <si>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</si>
  <si>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</si>
  <si>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</si>
  <si>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</si>
  <si>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</si>
  <si>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</si>
  <si>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</si>
  <si>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</si>
  <si>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</si>
  <si>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</si>
  <si>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</si>
  <si>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</si>
  <si>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</si>
  <si>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</si>
  <si>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</si>
  <si>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</si>
  <si>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</si>
  <si>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</si>
  <si>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</si>
  <si>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</si>
  <si>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</si>
  <si>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</si>
  <si>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</si>
  <si>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</si>
  <si>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</si>
  <si>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</si>
  <si>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</si>
  <si>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</si>
  <si>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</si>
  <si>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</si>
  <si>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</si>
  <si>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</si>
  <si>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</si>
  <si>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</si>
  <si>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</si>
  <si>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</si>
  <si>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</si>
  <si>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</si>
  <si>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</si>
  <si>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</si>
  <si>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</si>
  <si>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</si>
  <si>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</si>
  <si>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</si>
  <si>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</si>
  <si>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Q-3(A). Find the no. of spaces from the above text string?</t>
  </si>
  <si>
    <t>Year</t>
  </si>
  <si>
    <t>Q-5. Using text function change the format of dates according to the row no 4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</si>
  <si>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</si>
  <si>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</si>
  <si>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</si>
  <si>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</si>
  <si>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</si>
  <si>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</si>
  <si>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</si>
  <si>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</si>
  <si>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</si>
  <si>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</si>
  <si>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</si>
  <si>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</si>
  <si>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</si>
  <si>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</si>
  <si>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</si>
  <si>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</si>
  <si>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</si>
  <si>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</si>
  <si>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</si>
  <si>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</si>
  <si>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</si>
  <si>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</si>
  <si>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</si>
  <si>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</si>
  <si>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</si>
  <si>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</si>
  <si>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</si>
  <si>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</si>
  <si>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</si>
  <si>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</si>
  <si>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</si>
  <si>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</si>
  <si>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Find the no. of spaces from the above text string?</t>
  </si>
  <si>
    <t xml:space="preserve">Q-3(B). </t>
  </si>
  <si>
    <t>Find the length of above text string without space?</t>
  </si>
  <si>
    <t>Investment</t>
  </si>
  <si>
    <t>Cummulative Investment</t>
  </si>
  <si>
    <t>Q-4. Find the cummulative investment for each year. E.g. In year 7, the cumulative investment should be summation of year 1 to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</si>
</sst>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7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04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9" xfId="0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0" fillId="5" borderId="0" xfId="0" applyFill="1"/>
    <xf numFmtId="171" fontId="0" fillId="0" borderId="11" xfId="0" applyNumberFormat="1" applyBorder="1"/>
    <xf numFmtId="0" fontId="8" fillId="3" borderId="12" xfId="0" applyFont="1" applyFill="1" applyBorder="1"/>
    <xf numFmtId="0" fontId="8" fillId="3" borderId="10" xfId="0" applyFont="1" applyFill="1" applyBorder="1"/>
    <xf numFmtId="0" fontId="8" fillId="3" borderId="13" xfId="0" applyFont="1" applyFill="1" applyBorder="1"/>
    <xf numFmtId="0" fontId="0" fillId="0" borderId="16" xfId="0" applyBorder="1"/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23" xfId="0" applyBorder="1"/>
    <xf numFmtId="0" fontId="7" fillId="2" borderId="25" xfId="0" applyFont="1" applyFill="1" applyBorder="1"/>
    <xf numFmtId="0" fontId="7" fillId="2" borderId="28" xfId="0" applyFont="1" applyFill="1" applyBorder="1"/>
    <xf numFmtId="0" fontId="7" fillId="2" borderId="16" xfId="0" applyFont="1" applyFill="1" applyBorder="1"/>
    <xf numFmtId="0" fontId="7" fillId="2" borderId="29" xfId="0" applyFont="1" applyFill="1" applyBorder="1"/>
    <xf numFmtId="0" fontId="0" fillId="0" borderId="30" xfId="0" applyBorder="1"/>
    <xf numFmtId="170" fontId="9" fillId="0" borderId="26" xfId="0" applyNumberFormat="1" applyFont="1" applyBorder="1" applyAlignment="1">
      <alignment horizontal="center"/>
    </xf>
    <xf numFmtId="165" fontId="9" fillId="2" borderId="27" xfId="0" applyNumberFormat="1" applyFont="1" applyFill="1" applyBorder="1" applyAlignment="1">
      <alignment horizontal="center"/>
    </xf>
    <xf numFmtId="165" fontId="9" fillId="2" borderId="21" xfId="0" applyNumberFormat="1" applyFont="1" applyFill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5" xfId="0" applyNumberFormat="1" applyFont="1" applyBorder="1" applyAlignment="1">
      <alignment horizontal="center"/>
    </xf>
    <xf numFmtId="170" fontId="9" fillId="0" borderId="17" xfId="0" applyNumberFormat="1" applyFont="1" applyBorder="1" applyAlignment="1">
      <alignment horizontal="center"/>
    </xf>
    <xf numFmtId="0" fontId="8" fillId="3" borderId="33" xfId="0" applyFont="1" applyFill="1" applyBorder="1"/>
    <xf numFmtId="0" fontId="8" fillId="3" borderId="16" xfId="0" applyFont="1" applyFill="1" applyBorder="1"/>
    <xf numFmtId="0" fontId="8" fillId="3" borderId="28" xfId="0" applyFont="1" applyFill="1" applyBorder="1"/>
    <xf numFmtId="0" fontId="0" fillId="0" borderId="28" xfId="0" applyBorder="1"/>
    <xf numFmtId="0" fontId="8" fillId="3" borderId="35" xfId="0" applyFont="1" applyFill="1" applyBorder="1"/>
    <xf numFmtId="0" fontId="7" fillId="2" borderId="33" xfId="0" applyFont="1" applyFill="1" applyBorder="1"/>
    <xf numFmtId="0" fontId="7" fillId="2" borderId="35" xfId="0" applyFont="1" applyFill="1" applyBorder="1"/>
    <xf numFmtId="0" fontId="0" fillId="0" borderId="37" xfId="0" applyBorder="1" applyAlignment="1">
      <alignment horizontal="left"/>
    </xf>
    <xf numFmtId="0" fontId="7" fillId="2" borderId="41" xfId="0" applyFont="1" applyFill="1" applyBorder="1"/>
    <xf numFmtId="0" fontId="0" fillId="0" borderId="28" xfId="0" applyBorder="1" applyAlignment="1">
      <alignment horizontal="left"/>
    </xf>
    <xf numFmtId="0" fontId="8" fillId="3" borderId="38" xfId="0" applyFont="1" applyFill="1" applyBorder="1"/>
    <xf numFmtId="0" fontId="0" fillId="0" borderId="30" xfId="0" applyBorder="1" applyAlignment="1">
      <alignment horizontal="left"/>
    </xf>
    <xf numFmtId="0" fontId="8" fillId="3" borderId="40" xfId="0" applyFont="1" applyFill="1" applyBorder="1"/>
    <xf numFmtId="0" fontId="8" fillId="3" borderId="42" xfId="0" applyFont="1" applyFill="1" applyBorder="1"/>
    <xf numFmtId="0" fontId="8" fillId="3" borderId="43" xfId="0" applyFont="1" applyFill="1" applyBorder="1"/>
    <xf numFmtId="0" fontId="0" fillId="0" borderId="16" xfId="0" applyBorder="1" applyAlignment="1">
      <alignment horizontal="left"/>
    </xf>
    <xf numFmtId="0" fontId="8" fillId="3" borderId="29" xfId="0" applyFont="1" applyFill="1" applyBorder="1"/>
    <xf numFmtId="0" fontId="7" fillId="2" borderId="30" xfId="0" applyFont="1" applyFill="1" applyBorder="1"/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2" borderId="31" xfId="0" applyFont="1" applyFill="1" applyBorder="1"/>
    <xf numFmtId="0" fontId="8" fillId="3" borderId="36" xfId="0" applyFont="1" applyFill="1" applyBorder="1"/>
    <xf numFmtId="14" fontId="8" fillId="3" borderId="44" xfId="0" applyNumberFormat="1" applyFont="1" applyFill="1" applyBorder="1" applyAlignment="1">
      <alignment horizontal="center"/>
    </xf>
    <xf numFmtId="165" fontId="8" fillId="3" borderId="39" xfId="0" applyNumberFormat="1" applyFont="1" applyFill="1" applyBorder="1" applyAlignment="1">
      <alignment horizontal="center"/>
    </xf>
    <xf numFmtId="166" fontId="8" fillId="3" borderId="39" xfId="0" applyNumberFormat="1" applyFont="1" applyFill="1" applyBorder="1" applyAlignment="1">
      <alignment horizontal="center"/>
    </xf>
    <xf numFmtId="167" fontId="8" fillId="3" borderId="28" xfId="0" applyNumberFormat="1" applyFont="1" applyFill="1" applyBorder="1" applyAlignment="1">
      <alignment horizontal="center"/>
    </xf>
    <xf numFmtId="168" fontId="8" fillId="3" borderId="39" xfId="0" applyNumberFormat="1" applyFont="1" applyFill="1" applyBorder="1" applyAlignment="1">
      <alignment horizontal="center"/>
    </xf>
    <xf numFmtId="169" fontId="8" fillId="3" borderId="28" xfId="0" applyNumberFormat="1" applyFont="1" applyFill="1" applyBorder="1" applyAlignment="1">
      <alignment horizontal="center"/>
    </xf>
    <xf numFmtId="164" fontId="8" fillId="3" borderId="39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5" xfId="0" applyFont="1" applyBorder="1"/>
    <xf numFmtId="0" fontId="4" fillId="2" borderId="19" xfId="0" applyFont="1" applyFill="1" applyBorder="1"/>
    <xf numFmtId="0" fontId="4" fillId="2" borderId="5" xfId="0" applyFont="1" applyFill="1" applyBorder="1"/>
    <xf numFmtId="0" fontId="4" fillId="2" borderId="46" xfId="0" applyFont="1" applyFill="1" applyBorder="1"/>
    <xf numFmtId="0" fontId="5" fillId="3" borderId="39" xfId="0" applyFont="1" applyFill="1" applyBorder="1" applyAlignment="1">
      <alignment horizontal="center"/>
    </xf>
    <xf numFmtId="0" fontId="4" fillId="0" borderId="47" xfId="0" applyFont="1" applyBorder="1"/>
    <xf numFmtId="0" fontId="5" fillId="3" borderId="48" xfId="0" applyFont="1" applyFill="1" applyBorder="1" applyAlignment="1">
      <alignment horizontal="center"/>
    </xf>
    <xf numFmtId="0" fontId="7" fillId="2" borderId="49" xfId="0" applyFont="1" applyFill="1" applyBorder="1"/>
    <xf numFmtId="0" fontId="8" fillId="5" borderId="0" xfId="0" applyFont="1" applyFill="1"/>
    <xf numFmtId="0" fontId="8" fillId="5" borderId="49" xfId="0" applyFont="1" applyFill="1" applyBorder="1"/>
    <xf numFmtId="0" fontId="8" fillId="3" borderId="49" xfId="0" applyFont="1" applyFill="1" applyBorder="1"/>
    <xf numFmtId="0" fontId="0" fillId="5" borderId="23" xfId="0" applyFill="1" applyBorder="1"/>
    <xf numFmtId="0" fontId="8" fillId="5" borderId="28" xfId="0" applyFont="1" applyFill="1" applyBorder="1"/>
    <xf numFmtId="0" fontId="8" fillId="5" borderId="16" xfId="0" applyFont="1" applyFill="1" applyBorder="1"/>
    <xf numFmtId="0" fontId="4" fillId="2" borderId="18" xfId="0" applyFont="1" applyFill="1" applyBorder="1"/>
    <xf numFmtId="0" fontId="4" fillId="2" borderId="27" xfId="0" applyFont="1" applyFill="1" applyBorder="1"/>
    <xf numFmtId="0" fontId="4" fillId="5" borderId="0" xfId="0" applyFont="1" applyFill="1"/>
    <xf numFmtId="0" fontId="4" fillId="0" borderId="23" xfId="0" applyFont="1" applyBorder="1"/>
    <xf numFmtId="0" fontId="4" fillId="4" borderId="16" xfId="0" applyFont="1" applyFill="1" applyBorder="1"/>
    <xf numFmtId="0" fontId="4" fillId="4" borderId="34" xfId="0" applyFont="1" applyFill="1" applyBorder="1"/>
    <xf numFmtId="0" fontId="8" fillId="3" borderId="5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4" borderId="61" xfId="0" applyFont="1" applyFill="1" applyBorder="1"/>
    <xf numFmtId="0" fontId="8" fillId="5" borderId="55" xfId="0" applyFont="1" applyFill="1" applyBorder="1"/>
    <xf numFmtId="0" fontId="4" fillId="4" borderId="0" xfId="0" applyFont="1" applyFill="1"/>
    <xf numFmtId="0" fontId="4" fillId="4" borderId="31" xfId="0" applyFont="1" applyFill="1" applyBorder="1"/>
    <xf numFmtId="0" fontId="8" fillId="5" borderId="30" xfId="0" applyFont="1" applyFill="1" applyBorder="1"/>
    <xf numFmtId="0" fontId="11" fillId="0" borderId="53" xfId="0" applyFont="1" applyBorder="1" applyAlignment="1">
      <alignment horizontal="center"/>
    </xf>
    <xf numFmtId="0" fontId="11" fillId="0" borderId="62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8" fillId="3" borderId="32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center"/>
    </xf>
    <xf numFmtId="0" fontId="0" fillId="5" borderId="30" xfId="0" applyFill="1" applyBorder="1"/>
    <xf numFmtId="0" fontId="8" fillId="5" borderId="2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4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9" fontId="4" fillId="2" borderId="27" xfId="1" applyFont="1" applyFill="1" applyBorder="1" applyAlignment="1">
      <alignment horizontal="center"/>
    </xf>
    <xf numFmtId="0" fontId="3" fillId="0" borderId="0" xfId="0" applyFont="1"/>
    <xf numFmtId="9" fontId="4" fillId="2" borderId="39" xfId="1" applyFont="1" applyFill="1" applyBorder="1" applyAlignment="1">
      <alignment horizontal="center"/>
    </xf>
    <xf numFmtId="0" fontId="4" fillId="2" borderId="24" xfId="0" applyFont="1" applyFill="1" applyBorder="1"/>
    <xf numFmtId="0" fontId="4" fillId="2" borderId="39" xfId="0" applyFont="1" applyFill="1" applyBorder="1"/>
    <xf numFmtId="0" fontId="14" fillId="0" borderId="0" xfId="0" applyFont="1"/>
    <xf numFmtId="0" fontId="15" fillId="3" borderId="1" xfId="0" applyFont="1" applyFill="1" applyBorder="1"/>
    <xf numFmtId="0" fontId="0" fillId="0" borderId="1" xfId="0" applyBorder="1"/>
    <xf numFmtId="0" fontId="15" fillId="3" borderId="1" xfId="0" applyFont="1" applyFill="1" applyBorder="1" applyAlignment="1">
      <alignment wrapText="1"/>
    </xf>
    <xf numFmtId="38" fontId="16" fillId="0" borderId="1" xfId="0" applyNumberFormat="1" applyFont="1" applyBorder="1"/>
    <xf numFmtId="38" fontId="0" fillId="2" borderId="1" xfId="0" applyNumberFormat="1" applyFill="1" applyBorder="1"/>
    <xf numFmtId="14" fontId="7" fillId="2" borderId="28" xfId="0" applyNumberFormat="1" applyFont="1" applyFill="1" applyBorder="1"/>
    <xf numFmtId="0" fontId="10" fillId="3" borderId="49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left" vertical="center"/>
    </xf>
    <xf numFmtId="0" fontId="10" fillId="3" borderId="35" xfId="0" applyFont="1" applyFill="1" applyBorder="1" applyAlignment="1">
      <alignment horizontal="left" vertical="center"/>
    </xf>
    <xf numFmtId="0" fontId="8" fillId="3" borderId="63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61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51" xfId="0" applyFont="1" applyBorder="1" applyAlignment="1">
      <alignment horizontal="left"/>
    </xf>
    <xf numFmtId="0" fontId="7" fillId="2" borderId="2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34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61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left" vertical="center" wrapText="1"/>
    </xf>
    <xf numFmtId="0" fontId="11" fillId="0" borderId="3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35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7" fillId="2" borderId="16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8" fillId="6" borderId="34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61" xfId="0" applyFont="1" applyFill="1" applyBorder="1" applyAlignment="1">
      <alignment horizontal="left" wrapText="1"/>
    </xf>
    <xf numFmtId="0" fontId="6" fillId="4" borderId="30" xfId="0" applyFont="1" applyFill="1" applyBorder="1" applyAlignment="1">
      <alignment horizontal="left" wrapText="1"/>
    </xf>
    <xf numFmtId="0" fontId="6" fillId="4" borderId="51" xfId="0" applyFont="1" applyFill="1" applyBorder="1" applyAlignment="1">
      <alignment horizontal="left" wrapText="1"/>
    </xf>
    <xf numFmtId="0" fontId="3" fillId="4" borderId="36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3" fillId="4" borderId="36" xfId="0" applyFont="1" applyFill="1" applyBorder="1" applyAlignment="1">
      <alignment horizontal="center" wrapText="1"/>
    </xf>
    <xf numFmtId="0" fontId="3" fillId="4" borderId="28" xfId="0" applyFont="1" applyFill="1" applyBorder="1" applyAlignment="1">
      <alignment horizontal="center" wrapText="1"/>
    </xf>
    <xf numFmtId="0" fontId="3" fillId="4" borderId="35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workbookViewId="0">
      <selection activeCell="B2" sqref="B2"/>
    </sheetView>
  </sheetViews>
  <sheetFormatPr defaultColWidth="4.77734375" defaultRowHeight="14.4" x14ac:dyDescent="0.3"/>
  <cols>
    <col min="1" max="12" width="6.6640625" customWidth="1"/>
    <col min="13" max="13" width="7.44140625" customWidth="1"/>
    <col min="15" max="15" width="11.77734375" bestFit="1" customWidth="1"/>
    <col min="16" max="16" width="9.77734375" customWidth="1"/>
  </cols>
  <sheetData>
    <row r="1" spans="1:14" s="6" customFormat="1" ht="18.600000000000001" thickBot="1" x14ac:dyDescent="0.4">
      <c r="A1" s="12" t="s">
        <v>85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45"/>
      <c r="M1" s="48"/>
    </row>
    <row r="2" spans="1:14" ht="19.2" thickTop="1" thickBot="1" x14ac:dyDescent="0.4">
      <c r="A2" s="40" t="s">
        <v>86</v>
      </c>
      <c r="B2" s="26"/>
      <c r="C2" s="26"/>
      <c r="D2" s="26"/>
      <c r="E2" s="25"/>
      <c r="F2" s="26"/>
      <c r="G2" s="25"/>
      <c r="H2" s="26"/>
      <c r="I2" s="26"/>
      <c r="J2" s="26"/>
      <c r="K2" s="26"/>
      <c r="L2" s="25"/>
      <c r="M2" s="57"/>
    </row>
    <row r="3" spans="1:14" ht="15.6" thickTop="1" thickBot="1" x14ac:dyDescent="0.35">
      <c r="A3" s="20"/>
      <c r="B3" s="38"/>
      <c r="C3" s="20"/>
      <c r="D3" s="20"/>
      <c r="E3" s="20"/>
      <c r="F3" s="20"/>
      <c r="G3" s="38"/>
      <c r="H3" s="38"/>
      <c r="I3" s="38"/>
      <c r="J3" s="20"/>
      <c r="K3" s="20"/>
      <c r="M3" s="20"/>
    </row>
    <row r="4" spans="1:14" ht="16.2" thickTop="1" x14ac:dyDescent="0.3">
      <c r="A4" s="54">
        <v>730</v>
      </c>
      <c r="B4" s="9">
        <v>640</v>
      </c>
      <c r="C4" s="53">
        <v>936</v>
      </c>
      <c r="D4" s="53">
        <v>30</v>
      </c>
      <c r="E4" s="53">
        <v>914</v>
      </c>
      <c r="F4" s="53">
        <v>786</v>
      </c>
      <c r="G4" s="9">
        <v>734</v>
      </c>
      <c r="H4" s="9">
        <v>329</v>
      </c>
      <c r="I4" s="9">
        <v>82</v>
      </c>
      <c r="J4" s="53">
        <v>672</v>
      </c>
      <c r="K4" s="53">
        <v>937</v>
      </c>
      <c r="L4" s="53">
        <v>563.76363636363601</v>
      </c>
      <c r="M4" s="53">
        <v>554.845454545454</v>
      </c>
      <c r="N4" s="23"/>
    </row>
    <row r="5" spans="1:14" ht="15.6" x14ac:dyDescent="0.3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3"/>
    </row>
    <row r="6" spans="1:14" ht="15.6" x14ac:dyDescent="0.3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3"/>
    </row>
    <row r="7" spans="1:14" ht="15.6" x14ac:dyDescent="0.3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56">
        <v>711</v>
      </c>
    </row>
    <row r="8" spans="1:14" ht="15.6" x14ac:dyDescent="0.3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56">
        <v>160</v>
      </c>
    </row>
    <row r="9" spans="1:14" ht="15.6" x14ac:dyDescent="0.3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56">
        <v>429</v>
      </c>
    </row>
    <row r="10" spans="1:14" ht="15.6" x14ac:dyDescent="0.3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3"/>
    </row>
    <row r="11" spans="1:14" ht="15.6" x14ac:dyDescent="0.3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3"/>
    </row>
    <row r="12" spans="1:14" ht="15.6" x14ac:dyDescent="0.3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3"/>
    </row>
    <row r="13" spans="1:14" ht="15.6" x14ac:dyDescent="0.3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3"/>
    </row>
    <row r="14" spans="1:14" ht="15.6" x14ac:dyDescent="0.3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56">
        <v>805</v>
      </c>
    </row>
    <row r="15" spans="1:14" ht="15.6" x14ac:dyDescent="0.3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3"/>
    </row>
    <row r="16" spans="1:14" ht="15.6" x14ac:dyDescent="0.3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56">
        <v>443</v>
      </c>
    </row>
    <row r="17" spans="1:14" ht="15.6" x14ac:dyDescent="0.3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56">
        <v>410</v>
      </c>
    </row>
    <row r="18" spans="1:14" ht="15.6" x14ac:dyDescent="0.3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56">
        <v>264</v>
      </c>
    </row>
    <row r="19" spans="1:14" ht="15.6" x14ac:dyDescent="0.3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56">
        <v>2</v>
      </c>
    </row>
    <row r="20" spans="1:14" ht="15.6" x14ac:dyDescent="0.3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56">
        <v>773</v>
      </c>
    </row>
    <row r="21" spans="1:14" ht="15.6" x14ac:dyDescent="0.3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56">
        <v>793</v>
      </c>
    </row>
    <row r="22" spans="1:14" ht="15.6" x14ac:dyDescent="0.3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56">
        <v>828</v>
      </c>
    </row>
    <row r="23" spans="1:14" ht="15.6" x14ac:dyDescent="0.3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56">
        <v>875</v>
      </c>
    </row>
    <row r="24" spans="1:14" ht="15.6" x14ac:dyDescent="0.3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3"/>
    </row>
    <row r="25" spans="1:14" ht="15.6" x14ac:dyDescent="0.3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3"/>
    </row>
    <row r="26" spans="1:14" ht="15.6" x14ac:dyDescent="0.3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3"/>
    </row>
    <row r="27" spans="1:14" ht="16.2" thickBot="1" x14ac:dyDescent="0.35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55">
        <v>918</v>
      </c>
      <c r="I27" s="55">
        <v>3</v>
      </c>
      <c r="J27" s="55">
        <v>630</v>
      </c>
      <c r="K27" s="9">
        <v>948</v>
      </c>
      <c r="L27" s="9">
        <v>219</v>
      </c>
      <c r="M27" s="9">
        <v>153</v>
      </c>
      <c r="N27" s="23"/>
    </row>
    <row r="28" spans="1:14" ht="15" thickTop="1" x14ac:dyDescent="0.3">
      <c r="A28" s="20"/>
      <c r="B28" s="20"/>
      <c r="C28" s="20"/>
      <c r="D28" s="20"/>
      <c r="E28" s="20"/>
      <c r="F28" s="20"/>
      <c r="G28" s="20"/>
      <c r="K28" s="20"/>
      <c r="L28" s="20"/>
      <c r="M28" s="20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showGridLines="0" workbookViewId="0">
      <selection activeCell="B2" sqref="B2"/>
    </sheetView>
  </sheetViews>
  <sheetFormatPr defaultRowHeight="14.4" x14ac:dyDescent="0.3"/>
  <cols>
    <col min="1" max="1" width="8.77734375" customWidth="1"/>
    <col min="5" max="5" width="17.88671875" customWidth="1"/>
  </cols>
  <sheetData>
    <row r="1" spans="1:7" ht="18.600000000000001" thickBot="1" x14ac:dyDescent="0.4">
      <c r="A1" s="12" t="s">
        <v>87</v>
      </c>
      <c r="B1" s="45"/>
      <c r="C1" s="45"/>
      <c r="D1" s="13"/>
      <c r="E1" s="13"/>
      <c r="F1" s="14"/>
    </row>
    <row r="2" spans="1:7" ht="19.2" thickTop="1" thickBot="1" x14ac:dyDescent="0.4">
      <c r="A2" s="43" t="s">
        <v>86</v>
      </c>
      <c r="B2" s="52" cm="1">
        <f t="array" ref="B2">SUMPRODUCT(- -(LEN(A4:F10)=2))</f>
        <v>24</v>
      </c>
      <c r="C2" s="52"/>
      <c r="D2" s="25">
        <f>COUNTIF(A4:F10,"??")</f>
        <v>24</v>
      </c>
      <c r="E2" s="25"/>
      <c r="F2" s="41"/>
      <c r="G2" s="23"/>
    </row>
    <row r="3" spans="1:7" ht="15.6" thickTop="1" thickBot="1" x14ac:dyDescent="0.35">
      <c r="C3" s="38"/>
      <c r="D3" s="20"/>
      <c r="E3" s="38"/>
      <c r="F3" s="38"/>
    </row>
    <row r="4" spans="1:7" ht="16.2" thickTop="1" x14ac:dyDescent="0.3">
      <c r="A4" s="54" t="s">
        <v>1</v>
      </c>
      <c r="B4" s="53" t="s">
        <v>0</v>
      </c>
      <c r="C4" s="9" t="s">
        <v>4</v>
      </c>
      <c r="D4" s="53" t="s">
        <v>16</v>
      </c>
      <c r="E4" s="9" t="s">
        <v>2</v>
      </c>
      <c r="F4" s="9" t="s">
        <v>96</v>
      </c>
      <c r="G4" s="23"/>
    </row>
    <row r="5" spans="1:7" ht="15.6" x14ac:dyDescent="0.3">
      <c r="A5" s="8" t="s">
        <v>2</v>
      </c>
      <c r="B5" s="9" t="s">
        <v>3</v>
      </c>
      <c r="C5" s="9" t="s">
        <v>5</v>
      </c>
      <c r="D5" s="9" t="s">
        <v>13</v>
      </c>
      <c r="E5" s="9" t="s">
        <v>2</v>
      </c>
      <c r="F5" s="9" t="s">
        <v>95</v>
      </c>
      <c r="G5" s="23"/>
    </row>
    <row r="6" spans="1:7" ht="15.6" x14ac:dyDescent="0.3">
      <c r="A6" s="8" t="s">
        <v>6</v>
      </c>
      <c r="B6" s="9" t="s">
        <v>7</v>
      </c>
      <c r="C6" s="9" t="s">
        <v>8</v>
      </c>
      <c r="D6" s="9" t="s">
        <v>17</v>
      </c>
      <c r="E6" s="9" t="s">
        <v>88</v>
      </c>
      <c r="F6" s="9" t="s">
        <v>7</v>
      </c>
      <c r="G6" s="23"/>
    </row>
    <row r="7" spans="1:7" ht="15.6" x14ac:dyDescent="0.3">
      <c r="A7" s="8" t="s">
        <v>9</v>
      </c>
      <c r="B7" s="9" t="s">
        <v>10</v>
      </c>
      <c r="C7" s="9" t="s">
        <v>10</v>
      </c>
      <c r="D7" s="9" t="s">
        <v>17</v>
      </c>
      <c r="E7" s="9" t="s">
        <v>9</v>
      </c>
      <c r="F7" s="9" t="s">
        <v>91</v>
      </c>
      <c r="G7" s="23"/>
    </row>
    <row r="8" spans="1:7" ht="15.6" x14ac:dyDescent="0.3">
      <c r="A8" s="8" t="s">
        <v>11</v>
      </c>
      <c r="B8" s="9" t="s">
        <v>12</v>
      </c>
      <c r="C8" s="9" t="s">
        <v>13</v>
      </c>
      <c r="D8" s="9" t="s">
        <v>18</v>
      </c>
      <c r="E8" s="9" t="s">
        <v>89</v>
      </c>
      <c r="F8" s="56" t="s">
        <v>92</v>
      </c>
    </row>
    <row r="9" spans="1:7" ht="15.6" x14ac:dyDescent="0.3">
      <c r="A9" s="8" t="s">
        <v>14</v>
      </c>
      <c r="B9" s="9" t="s">
        <v>12</v>
      </c>
      <c r="C9" s="9" t="s">
        <v>15</v>
      </c>
      <c r="D9" s="9" t="s">
        <v>15</v>
      </c>
      <c r="E9" s="9" t="s">
        <v>14</v>
      </c>
      <c r="F9" s="9" t="s">
        <v>93</v>
      </c>
      <c r="G9" s="23"/>
    </row>
    <row r="10" spans="1:7" ht="16.2" thickBot="1" x14ac:dyDescent="0.35">
      <c r="A10" s="8" t="s">
        <v>14</v>
      </c>
      <c r="B10" s="55" t="s">
        <v>14</v>
      </c>
      <c r="C10" s="55" t="s">
        <v>15</v>
      </c>
      <c r="D10" s="55" t="s">
        <v>19</v>
      </c>
      <c r="E10" s="9" t="s">
        <v>90</v>
      </c>
      <c r="F10" s="9" t="s">
        <v>94</v>
      </c>
      <c r="G10" s="23"/>
    </row>
    <row r="11" spans="1:7" ht="15" thickTop="1" x14ac:dyDescent="0.3">
      <c r="A11" s="20"/>
      <c r="E11" s="20"/>
      <c r="F11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B5" sqref="B5"/>
    </sheetView>
  </sheetViews>
  <sheetFormatPr defaultRowHeight="14.4" x14ac:dyDescent="0.3"/>
  <cols>
    <col min="1" max="1" width="8.77734375" customWidth="1"/>
    <col min="2" max="2" width="13.33203125" bestFit="1" customWidth="1"/>
  </cols>
  <sheetData>
    <row r="1" spans="1:10" ht="18.600000000000001" thickBot="1" x14ac:dyDescent="0.4">
      <c r="A1" s="47" t="s">
        <v>97</v>
      </c>
      <c r="B1" s="45"/>
      <c r="C1" s="13"/>
      <c r="D1" s="45"/>
      <c r="E1" s="13"/>
      <c r="F1" s="45"/>
      <c r="G1" s="45"/>
      <c r="H1" s="13"/>
      <c r="I1" s="48"/>
    </row>
    <row r="2" spans="1:10" ht="15.6" thickTop="1" thickBot="1" x14ac:dyDescent="0.35">
      <c r="A2" s="46"/>
      <c r="B2" s="3"/>
      <c r="C2" s="42"/>
      <c r="D2" s="3"/>
      <c r="E2" s="44"/>
      <c r="F2" s="3"/>
      <c r="G2" s="3"/>
      <c r="H2" s="42"/>
    </row>
    <row r="3" spans="1:10" ht="19.2" thickTop="1" thickBot="1" x14ac:dyDescent="0.4">
      <c r="A3" s="10" t="s">
        <v>98</v>
      </c>
      <c r="B3" s="13" t="s">
        <v>133</v>
      </c>
      <c r="C3" s="45"/>
      <c r="D3" s="13"/>
      <c r="E3" s="36"/>
      <c r="F3" s="45"/>
      <c r="G3" s="13"/>
      <c r="H3" s="45"/>
      <c r="I3" s="49"/>
    </row>
    <row r="4" spans="1:10" ht="15.6" thickTop="1" thickBot="1" x14ac:dyDescent="0.35">
      <c r="A4" s="44"/>
      <c r="B4" s="44"/>
      <c r="C4" s="3"/>
      <c r="D4" s="44"/>
      <c r="E4" s="44"/>
      <c r="F4" s="46"/>
      <c r="G4" s="44"/>
      <c r="H4" s="3"/>
      <c r="I4" s="38"/>
    </row>
    <row r="5" spans="1:10" ht="19.2" thickTop="1" thickBot="1" x14ac:dyDescent="0.4">
      <c r="A5" s="43" t="s">
        <v>86</v>
      </c>
      <c r="B5" s="127"/>
      <c r="C5" s="26"/>
      <c r="D5" s="26"/>
      <c r="E5" s="25"/>
      <c r="F5" s="25"/>
      <c r="G5" s="25"/>
      <c r="H5" s="26"/>
      <c r="I5" s="27"/>
      <c r="J5" s="23"/>
    </row>
    <row r="6" spans="1:10" ht="15.6" thickTop="1" thickBot="1" x14ac:dyDescent="0.35">
      <c r="A6" s="3"/>
      <c r="B6" s="44"/>
      <c r="C6" s="50"/>
      <c r="D6" s="42"/>
      <c r="E6" s="3"/>
      <c r="F6" s="44"/>
      <c r="G6" s="3"/>
      <c r="H6" s="50"/>
      <c r="I6" s="20"/>
    </row>
    <row r="7" spans="1:10" ht="19.2" thickTop="1" thickBot="1" x14ac:dyDescent="0.4">
      <c r="A7" s="35" t="s">
        <v>134</v>
      </c>
      <c r="B7" s="11" t="s">
        <v>135</v>
      </c>
      <c r="C7" s="36"/>
      <c r="D7" s="13"/>
      <c r="E7" s="13"/>
      <c r="F7" s="11"/>
      <c r="G7" s="13"/>
      <c r="H7" s="36"/>
      <c r="I7" s="51"/>
    </row>
    <row r="8" spans="1:10" ht="15.6" thickTop="1" thickBot="1" x14ac:dyDescent="0.35">
      <c r="A8" s="38"/>
      <c r="B8" s="38"/>
      <c r="C8" s="38"/>
      <c r="D8" s="38"/>
      <c r="E8" s="38"/>
      <c r="F8" s="38"/>
      <c r="G8" s="38"/>
      <c r="H8" s="38"/>
      <c r="I8" s="38"/>
    </row>
    <row r="9" spans="1:10" ht="19.2" thickTop="1" thickBot="1" x14ac:dyDescent="0.4">
      <c r="A9" s="40" t="s">
        <v>86</v>
      </c>
      <c r="B9" s="25"/>
      <c r="C9" s="26"/>
      <c r="D9" s="26"/>
      <c r="E9" s="26"/>
      <c r="F9" s="26"/>
      <c r="G9" s="26"/>
      <c r="H9" s="25"/>
      <c r="I9" s="41"/>
    </row>
    <row r="10" spans="1:10" ht="15" thickTop="1" x14ac:dyDescent="0.3">
      <c r="A10" s="20"/>
      <c r="C10" s="20"/>
      <c r="D10" s="20"/>
      <c r="E10" s="20"/>
      <c r="F10" s="20"/>
      <c r="G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DB7F-0DFB-4754-9335-A0122A0821F2}">
  <dimension ref="A1:U5"/>
  <sheetViews>
    <sheetView workbookViewId="0">
      <selection activeCell="M15" sqref="M15"/>
    </sheetView>
  </sheetViews>
  <sheetFormatPr defaultRowHeight="14.4" x14ac:dyDescent="0.3"/>
  <sheetData>
    <row r="1" spans="1:21" x14ac:dyDescent="0.3">
      <c r="A1" s="121" t="s">
        <v>138</v>
      </c>
    </row>
    <row r="3" spans="1:21" ht="36" customHeight="1" x14ac:dyDescent="0.3">
      <c r="A3" s="122" t="s">
        <v>99</v>
      </c>
      <c r="B3" s="123">
        <v>1</v>
      </c>
      <c r="C3" s="123">
        <v>2</v>
      </c>
      <c r="D3" s="123">
        <v>3</v>
      </c>
      <c r="E3" s="123">
        <v>4</v>
      </c>
      <c r="F3" s="123">
        <v>5</v>
      </c>
      <c r="G3" s="123">
        <v>6</v>
      </c>
      <c r="H3" s="123">
        <v>7</v>
      </c>
      <c r="I3" s="123">
        <v>8</v>
      </c>
      <c r="J3" s="123">
        <v>9</v>
      </c>
      <c r="K3" s="123">
        <v>10</v>
      </c>
      <c r="L3" s="123">
        <v>11</v>
      </c>
      <c r="M3" s="123">
        <v>12</v>
      </c>
      <c r="N3" s="123">
        <v>13</v>
      </c>
      <c r="O3" s="123">
        <v>14</v>
      </c>
      <c r="P3" s="123">
        <v>15</v>
      </c>
      <c r="Q3" s="123">
        <v>16</v>
      </c>
      <c r="R3" s="123">
        <v>17</v>
      </c>
      <c r="S3" s="123">
        <v>18</v>
      </c>
      <c r="T3" s="123">
        <v>19</v>
      </c>
      <c r="U3" s="123">
        <v>20</v>
      </c>
    </row>
    <row r="4" spans="1:21" ht="46.5" customHeight="1" x14ac:dyDescent="0.3">
      <c r="A4" s="124" t="s">
        <v>136</v>
      </c>
      <c r="B4" s="125">
        <v>-1266.4100000000001</v>
      </c>
      <c r="C4" s="125">
        <v>-1266.4100000000001</v>
      </c>
      <c r="D4" s="125">
        <v>-6090</v>
      </c>
      <c r="E4" s="125">
        <v>-1266.4100000000001</v>
      </c>
      <c r="F4" s="125">
        <v>-1266.4100000000001</v>
      </c>
      <c r="G4" s="125">
        <v>-9839</v>
      </c>
      <c r="H4" s="125">
        <v>-1266.4100000000001</v>
      </c>
      <c r="I4" s="125">
        <v>-1266.4100000000001</v>
      </c>
      <c r="J4" s="125">
        <v>-3489</v>
      </c>
      <c r="K4" s="125">
        <v>-1266.4100000000001</v>
      </c>
      <c r="L4" s="125">
        <v>-1266.4100000000001</v>
      </c>
      <c r="M4" s="125">
        <v>-1266.4100000000001</v>
      </c>
      <c r="N4" s="125">
        <v>-1266.4100000000001</v>
      </c>
      <c r="O4" s="125">
        <v>-1266.4100000000001</v>
      </c>
      <c r="P4" s="125">
        <v>-1266.4100000000001</v>
      </c>
      <c r="Q4" s="125">
        <v>-1266.4100000000001</v>
      </c>
      <c r="R4" s="125">
        <v>-1266.4100000000001</v>
      </c>
      <c r="S4" s="125">
        <v>-1266.4100000000001</v>
      </c>
      <c r="T4" s="125">
        <v>-1266.4100000000001</v>
      </c>
      <c r="U4" s="125">
        <v>-1266.4100000000001</v>
      </c>
    </row>
    <row r="5" spans="1:21" ht="46.5" customHeight="1" x14ac:dyDescent="0.3">
      <c r="A5" s="124" t="s">
        <v>137</v>
      </c>
      <c r="B5" s="126"/>
      <c r="C5" s="126">
        <f>SUM(B4,C4)</f>
        <v>-2532.8200000000002</v>
      </c>
      <c r="D5" s="126">
        <f>SUM(B4:D4)</f>
        <v>-8622.82</v>
      </c>
      <c r="E5" s="126">
        <f>SUM(B4:E4)</f>
        <v>-9889.23</v>
      </c>
      <c r="F5" s="126">
        <f>SUM(B4:F4)</f>
        <v>-11155.64</v>
      </c>
      <c r="G5" s="126">
        <f>SUM(B4:G4)</f>
        <v>-20994.639999999999</v>
      </c>
      <c r="H5" s="126">
        <f>SUM(B4:H4)</f>
        <v>-22261.05</v>
      </c>
      <c r="I5" s="126">
        <f>SUM(B4:I4)</f>
        <v>-23527.46</v>
      </c>
      <c r="J5" s="126">
        <f>SUM(B4:J4)</f>
        <v>-27016.46</v>
      </c>
      <c r="K5" s="126">
        <f>SUM(B4:K4)</f>
        <v>-28282.87</v>
      </c>
      <c r="L5" s="126">
        <f>SUM(B4:L4)</f>
        <v>-29549.279999999999</v>
      </c>
      <c r="M5" s="126">
        <f>SUM(B4:M4)</f>
        <v>-30815.69</v>
      </c>
      <c r="N5" s="126">
        <f>SUM(B4:N4)</f>
        <v>-32082.1</v>
      </c>
      <c r="O5" s="126">
        <f>SUM(B4:O4)</f>
        <v>-33348.51</v>
      </c>
      <c r="P5" s="126">
        <f>SUM(B4:P4)</f>
        <v>-34614.920000000006</v>
      </c>
      <c r="Q5" s="126">
        <f>SUM(B4:Q4)</f>
        <v>-35881.330000000009</v>
      </c>
      <c r="R5" s="126">
        <f>SUM(B4:R4)</f>
        <v>-37147.740000000013</v>
      </c>
      <c r="S5" s="126">
        <f>SUM(B4:S4)</f>
        <v>-38414.150000000016</v>
      </c>
      <c r="T5" s="126">
        <f>SUM(B4:T4)</f>
        <v>-39680.560000000019</v>
      </c>
      <c r="U5" s="126">
        <f>SUM(B4:U4)</f>
        <v>-40946.970000000023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zoomScaleNormal="100" workbookViewId="0">
      <selection activeCell="G5" sqref="G5"/>
    </sheetView>
  </sheetViews>
  <sheetFormatPr defaultRowHeight="14.4" x14ac:dyDescent="0.3"/>
  <cols>
    <col min="1" max="1" width="23.44140625" customWidth="1"/>
    <col min="2" max="2" width="26.33203125" bestFit="1" customWidth="1"/>
    <col min="3" max="3" width="10.77734375" bestFit="1" customWidth="1"/>
    <col min="4" max="4" width="15" customWidth="1"/>
    <col min="5" max="5" width="8.77734375" customWidth="1"/>
    <col min="6" max="6" width="11.77734375" customWidth="1"/>
    <col min="7" max="7" width="33.88671875" bestFit="1" customWidth="1"/>
    <col min="9" max="9" width="9.21875" style="2"/>
  </cols>
  <sheetData>
    <row r="1" spans="1:9" ht="18.600000000000001" thickBot="1" x14ac:dyDescent="0.4">
      <c r="A1" s="19" t="s">
        <v>100</v>
      </c>
      <c r="B1" s="18"/>
      <c r="C1" s="18"/>
      <c r="D1" s="18"/>
      <c r="E1" s="18"/>
      <c r="F1" s="18"/>
      <c r="G1" s="17"/>
    </row>
    <row r="2" spans="1:9" ht="15.6" thickTop="1" thickBot="1" x14ac:dyDescent="0.35">
      <c r="A2" s="3"/>
      <c r="B2" s="3"/>
      <c r="C2" s="3"/>
      <c r="D2" s="22"/>
      <c r="E2" s="22"/>
      <c r="F2" s="22"/>
      <c r="G2" s="21"/>
    </row>
    <row r="3" spans="1:9" ht="19.2" thickTop="1" thickBot="1" x14ac:dyDescent="0.4">
      <c r="A3" s="24" t="s">
        <v>86</v>
      </c>
      <c r="B3" s="25"/>
      <c r="C3" s="26"/>
      <c r="D3" s="7"/>
      <c r="E3" s="7"/>
      <c r="F3" s="7"/>
      <c r="G3" s="27"/>
    </row>
    <row r="4" spans="1:9" ht="19.2" thickTop="1" thickBot="1" x14ac:dyDescent="0.4">
      <c r="A4" s="59">
        <v>40826</v>
      </c>
      <c r="B4" s="60">
        <v>40826</v>
      </c>
      <c r="C4" s="61">
        <v>40826</v>
      </c>
      <c r="D4" s="62">
        <v>40826</v>
      </c>
      <c r="E4" s="63">
        <v>40826</v>
      </c>
      <c r="F4" s="64">
        <v>40826</v>
      </c>
      <c r="G4" s="65">
        <v>40826</v>
      </c>
    </row>
    <row r="5" spans="1:9" ht="19.2" thickTop="1" thickBot="1" x14ac:dyDescent="0.4">
      <c r="A5" s="29">
        <v>40835.007638888892</v>
      </c>
      <c r="B5" s="30" t="str">
        <f>TEXT(A5,"dd mmmm yyyy")</f>
        <v>19 October 2011</v>
      </c>
      <c r="C5" s="30" t="str">
        <f>TEXT(A5,"dd-mm")</f>
        <v>19-10</v>
      </c>
      <c r="D5" s="31" t="str">
        <f>TEXT(A5,"mmmm-dd")</f>
        <v>October-19</v>
      </c>
      <c r="E5" s="30" t="str">
        <f>TEXT(A5,"dd-mmm")</f>
        <v>19-Oct</v>
      </c>
      <c r="F5" s="30" t="str">
        <f>TEXT(A5,"dd mmm yy")</f>
        <v>19 Oct 11</v>
      </c>
      <c r="G5" s="30" t="str">
        <f>TEXT(A5,"dddd,mmmm dd,yyyy")</f>
        <v>Wednesday,October 19,2011</v>
      </c>
    </row>
    <row r="6" spans="1:9" ht="19.2" thickTop="1" thickBot="1" x14ac:dyDescent="0.4">
      <c r="A6" s="32">
        <v>40826.007638888892</v>
      </c>
      <c r="B6" s="30" t="str">
        <f t="shared" ref="B6:B16" si="0">TEXT(A6,"dd mmmm yyyy")</f>
        <v>10 October 2011</v>
      </c>
      <c r="C6" s="30" t="str">
        <f t="shared" ref="C6:C16" si="1">TEXT(A6,"dd-mm")</f>
        <v>10-10</v>
      </c>
      <c r="D6" s="31" t="str">
        <f t="shared" ref="D6:D16" si="2">TEXT(A6,"mmmm-dd")</f>
        <v>October-10</v>
      </c>
      <c r="E6" s="30" t="str">
        <f t="shared" ref="E6:E16" si="3">TEXT(A6,"dd-mmm")</f>
        <v>10-Oct</v>
      </c>
      <c r="F6" s="30" t="str">
        <f t="shared" ref="F6:F16" si="4">TEXT(A6,"dd mmm yy")</f>
        <v>10 Oct 11</v>
      </c>
      <c r="G6" s="30" t="str">
        <f t="shared" ref="G6:G16" si="5">TEXT(A6,"dddd,mmmm dd,yyyy")</f>
        <v>Monday,October 10,2011</v>
      </c>
    </row>
    <row r="7" spans="1:9" ht="19.2" thickTop="1" thickBot="1" x14ac:dyDescent="0.4">
      <c r="A7" s="32">
        <v>40827.007638888892</v>
      </c>
      <c r="B7" s="30" t="str">
        <f t="shared" si="0"/>
        <v>11 October 2011</v>
      </c>
      <c r="C7" s="30" t="str">
        <f t="shared" si="1"/>
        <v>11-10</v>
      </c>
      <c r="D7" s="31" t="str">
        <f t="shared" si="2"/>
        <v>October-11</v>
      </c>
      <c r="E7" s="30" t="str">
        <f t="shared" si="3"/>
        <v>11-Oct</v>
      </c>
      <c r="F7" s="30" t="str">
        <f t="shared" si="4"/>
        <v>11 Oct 11</v>
      </c>
      <c r="G7" s="30" t="str">
        <f t="shared" si="5"/>
        <v>Tuesday,October 11,2011</v>
      </c>
    </row>
    <row r="8" spans="1:9" ht="19.2" thickTop="1" thickBot="1" x14ac:dyDescent="0.4">
      <c r="A8" s="32">
        <v>40828.007638888892</v>
      </c>
      <c r="B8" s="30" t="str">
        <f t="shared" si="0"/>
        <v>12 October 2011</v>
      </c>
      <c r="C8" s="30" t="str">
        <f t="shared" si="1"/>
        <v>12-10</v>
      </c>
      <c r="D8" s="31" t="str">
        <f t="shared" si="2"/>
        <v>October-12</v>
      </c>
      <c r="E8" s="30" t="str">
        <f t="shared" si="3"/>
        <v>12-Oct</v>
      </c>
      <c r="F8" s="30" t="str">
        <f t="shared" si="4"/>
        <v>12 Oct 11</v>
      </c>
      <c r="G8" s="30" t="str">
        <f t="shared" si="5"/>
        <v>Wednesday,October 12,2011</v>
      </c>
    </row>
    <row r="9" spans="1:9" ht="19.2" thickTop="1" thickBot="1" x14ac:dyDescent="0.4">
      <c r="A9" s="32">
        <v>40829.007638888892</v>
      </c>
      <c r="B9" s="30" t="str">
        <f t="shared" si="0"/>
        <v>13 October 2011</v>
      </c>
      <c r="C9" s="30" t="str">
        <f t="shared" si="1"/>
        <v>13-10</v>
      </c>
      <c r="D9" s="31" t="str">
        <f t="shared" si="2"/>
        <v>October-13</v>
      </c>
      <c r="E9" s="30" t="str">
        <f t="shared" si="3"/>
        <v>13-Oct</v>
      </c>
      <c r="F9" s="30" t="str">
        <f t="shared" si="4"/>
        <v>13 Oct 11</v>
      </c>
      <c r="G9" s="30" t="str">
        <f t="shared" si="5"/>
        <v>Thursday,October 13,2011</v>
      </c>
      <c r="I9" s="16"/>
    </row>
    <row r="10" spans="1:9" ht="19.2" thickTop="1" thickBot="1" x14ac:dyDescent="0.4">
      <c r="A10" s="32">
        <v>40830.007638888892</v>
      </c>
      <c r="B10" s="30" t="str">
        <f t="shared" si="0"/>
        <v>14 October 2011</v>
      </c>
      <c r="C10" s="30" t="str">
        <f t="shared" si="1"/>
        <v>14-10</v>
      </c>
      <c r="D10" s="31" t="str">
        <f t="shared" si="2"/>
        <v>October-14</v>
      </c>
      <c r="E10" s="30" t="str">
        <f t="shared" si="3"/>
        <v>14-Oct</v>
      </c>
      <c r="F10" s="30" t="str">
        <f t="shared" si="4"/>
        <v>14 Oct 11</v>
      </c>
      <c r="G10" s="30" t="str">
        <f t="shared" si="5"/>
        <v>Friday,October 14,2011</v>
      </c>
      <c r="I10"/>
    </row>
    <row r="11" spans="1:9" ht="19.2" thickTop="1" thickBot="1" x14ac:dyDescent="0.4">
      <c r="A11" s="32">
        <v>40831.007638888892</v>
      </c>
      <c r="B11" s="30" t="str">
        <f t="shared" si="0"/>
        <v>15 October 2011</v>
      </c>
      <c r="C11" s="30" t="str">
        <f t="shared" si="1"/>
        <v>15-10</v>
      </c>
      <c r="D11" s="31" t="str">
        <f t="shared" si="2"/>
        <v>October-15</v>
      </c>
      <c r="E11" s="30" t="str">
        <f t="shared" si="3"/>
        <v>15-Oct</v>
      </c>
      <c r="F11" s="30" t="str">
        <f t="shared" si="4"/>
        <v>15 Oct 11</v>
      </c>
      <c r="G11" s="30" t="str">
        <f t="shared" si="5"/>
        <v>Saturday,October 15,2011</v>
      </c>
    </row>
    <row r="12" spans="1:9" ht="19.2" thickTop="1" thickBot="1" x14ac:dyDescent="0.4">
      <c r="A12" s="32">
        <v>40832.007638888892</v>
      </c>
      <c r="B12" s="30" t="str">
        <f t="shared" si="0"/>
        <v>16 October 2011</v>
      </c>
      <c r="C12" s="30" t="str">
        <f t="shared" si="1"/>
        <v>16-10</v>
      </c>
      <c r="D12" s="31" t="str">
        <f t="shared" si="2"/>
        <v>October-16</v>
      </c>
      <c r="E12" s="30" t="str">
        <f t="shared" si="3"/>
        <v>16-Oct</v>
      </c>
      <c r="F12" s="30" t="str">
        <f t="shared" si="4"/>
        <v>16 Oct 11</v>
      </c>
      <c r="G12" s="30" t="str">
        <f t="shared" si="5"/>
        <v>Sunday,October 16,2011</v>
      </c>
      <c r="H12" s="23"/>
    </row>
    <row r="13" spans="1:9" ht="19.2" thickTop="1" thickBot="1" x14ac:dyDescent="0.4">
      <c r="A13" s="33">
        <v>40833.007638888892</v>
      </c>
      <c r="B13" s="30" t="str">
        <f t="shared" si="0"/>
        <v>17 October 2011</v>
      </c>
      <c r="C13" s="30" t="str">
        <f t="shared" si="1"/>
        <v>17-10</v>
      </c>
      <c r="D13" s="31" t="str">
        <f t="shared" si="2"/>
        <v>October-17</v>
      </c>
      <c r="E13" s="30" t="str">
        <f t="shared" si="3"/>
        <v>17-Oct</v>
      </c>
      <c r="F13" s="30" t="str">
        <f t="shared" si="4"/>
        <v>17 Oct 11</v>
      </c>
      <c r="G13" s="30" t="str">
        <f t="shared" si="5"/>
        <v>Monday,October 17,2011</v>
      </c>
      <c r="I13"/>
    </row>
    <row r="14" spans="1:9" ht="19.2" thickTop="1" thickBot="1" x14ac:dyDescent="0.4">
      <c r="A14" s="33">
        <v>40834.007638888892</v>
      </c>
      <c r="B14" s="30" t="str">
        <f t="shared" si="0"/>
        <v>18 October 2011</v>
      </c>
      <c r="C14" s="30" t="str">
        <f t="shared" si="1"/>
        <v>18-10</v>
      </c>
      <c r="D14" s="31" t="str">
        <f t="shared" si="2"/>
        <v>October-18</v>
      </c>
      <c r="E14" s="30" t="str">
        <f t="shared" si="3"/>
        <v>18-Oct</v>
      </c>
      <c r="F14" s="30" t="str">
        <f t="shared" si="4"/>
        <v>18 Oct 11</v>
      </c>
      <c r="G14" s="30" t="str">
        <f t="shared" si="5"/>
        <v>Tuesday,October 18,2011</v>
      </c>
    </row>
    <row r="15" spans="1:9" ht="19.2" thickTop="1" thickBot="1" x14ac:dyDescent="0.4">
      <c r="A15" s="33">
        <v>40835.007638888892</v>
      </c>
      <c r="B15" s="30" t="str">
        <f t="shared" si="0"/>
        <v>19 October 2011</v>
      </c>
      <c r="C15" s="30" t="str">
        <f t="shared" si="1"/>
        <v>19-10</v>
      </c>
      <c r="D15" s="31" t="str">
        <f t="shared" si="2"/>
        <v>October-19</v>
      </c>
      <c r="E15" s="30" t="str">
        <f t="shared" si="3"/>
        <v>19-Oct</v>
      </c>
      <c r="F15" s="30" t="str">
        <f t="shared" si="4"/>
        <v>19 Oct 11</v>
      </c>
      <c r="G15" s="30" t="str">
        <f t="shared" si="5"/>
        <v>Wednesday,October 19,2011</v>
      </c>
    </row>
    <row r="16" spans="1:9" ht="19.2" thickTop="1" thickBot="1" x14ac:dyDescent="0.4">
      <c r="A16" s="34">
        <v>40836.007638888892</v>
      </c>
      <c r="B16" s="30" t="str">
        <f t="shared" si="0"/>
        <v>20 October 2011</v>
      </c>
      <c r="C16" s="30" t="str">
        <f t="shared" si="1"/>
        <v>20-10</v>
      </c>
      <c r="D16" s="31" t="str">
        <f t="shared" si="2"/>
        <v>October-20</v>
      </c>
      <c r="E16" s="30" t="str">
        <f t="shared" si="3"/>
        <v>20-Oct</v>
      </c>
      <c r="F16" s="30" t="str">
        <f t="shared" si="4"/>
        <v>20 Oct 11</v>
      </c>
      <c r="G16" s="30" t="str">
        <f t="shared" si="5"/>
        <v>Thursday,October 20,2011</v>
      </c>
    </row>
    <row r="17" spans="1:6" ht="15" thickTop="1" x14ac:dyDescent="0.3">
      <c r="A17" s="20"/>
      <c r="B17" s="20"/>
      <c r="C17" s="20"/>
      <c r="D17" s="20"/>
      <c r="F17" s="20"/>
    </row>
    <row r="24" spans="1:6" x14ac:dyDescent="0.3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G17" sqref="G17"/>
    </sheetView>
  </sheetViews>
  <sheetFormatPr defaultRowHeight="14.4" x14ac:dyDescent="0.3"/>
  <cols>
    <col min="1" max="1" width="25.5546875" customWidth="1"/>
    <col min="2" max="2" width="15" bestFit="1" customWidth="1"/>
    <col min="3" max="3" width="14.77734375" bestFit="1" customWidth="1"/>
    <col min="4" max="4" width="12.77734375" customWidth="1"/>
    <col min="5" max="5" width="9.6640625" customWidth="1"/>
    <col min="6" max="6" width="25.21875" customWidth="1"/>
    <col min="7" max="7" width="26.44140625" customWidth="1"/>
    <col min="8" max="8" width="25.33203125" customWidth="1"/>
    <col min="9" max="9" width="18" customWidth="1"/>
  </cols>
  <sheetData>
    <row r="1" spans="1:10" ht="19.2" thickTop="1" thickBot="1" x14ac:dyDescent="0.4">
      <c r="A1" s="78" t="s">
        <v>102</v>
      </c>
      <c r="B1" s="37"/>
      <c r="C1" s="36"/>
      <c r="D1" s="37"/>
      <c r="E1" s="37"/>
      <c r="F1" s="37"/>
      <c r="G1" s="37"/>
      <c r="H1" s="37"/>
      <c r="I1" s="39"/>
      <c r="J1" s="23"/>
    </row>
    <row r="2" spans="1:10" s="15" customFormat="1" ht="19.2" thickTop="1" thickBot="1" x14ac:dyDescent="0.4">
      <c r="A2" s="77"/>
      <c r="B2" s="76"/>
      <c r="C2" s="81"/>
      <c r="D2" s="80"/>
      <c r="E2" s="80"/>
      <c r="F2" s="81"/>
      <c r="G2" s="80"/>
      <c r="H2" s="80"/>
      <c r="I2" s="76"/>
      <c r="J2" s="79"/>
    </row>
    <row r="3" spans="1:10" ht="19.2" thickTop="1" thickBot="1" x14ac:dyDescent="0.4">
      <c r="A3" s="75" t="s">
        <v>86</v>
      </c>
      <c r="B3" s="25"/>
      <c r="C3" s="26"/>
      <c r="D3" s="7"/>
      <c r="E3" s="7"/>
      <c r="F3" s="26"/>
      <c r="G3" s="7"/>
      <c r="H3" s="25"/>
      <c r="I3" s="27"/>
    </row>
    <row r="4" spans="1:10" ht="16.8" thickTop="1" thickBot="1" x14ac:dyDescent="0.35">
      <c r="A4" s="74" t="s">
        <v>20</v>
      </c>
      <c r="B4" s="72" t="s">
        <v>21</v>
      </c>
      <c r="C4" s="72" t="s">
        <v>22</v>
      </c>
      <c r="D4" s="72" t="s">
        <v>23</v>
      </c>
      <c r="E4" s="72" t="s">
        <v>24</v>
      </c>
      <c r="F4" s="72" t="s">
        <v>25</v>
      </c>
      <c r="G4" s="72" t="s">
        <v>26</v>
      </c>
      <c r="H4" s="72" t="s">
        <v>27</v>
      </c>
      <c r="I4" s="72" t="s">
        <v>28</v>
      </c>
      <c r="J4" s="23"/>
    </row>
    <row r="5" spans="1:10" ht="16.8" thickTop="1" thickBot="1" x14ac:dyDescent="0.35">
      <c r="A5" s="66" t="s">
        <v>29</v>
      </c>
      <c r="B5" s="71" t="str">
        <f>LEFT(A5,SEARCH(" ",A5)-1)</f>
        <v>Rohit</v>
      </c>
      <c r="C5" s="71" t="str">
        <f>RIGHT(A5, LEN(A5) - SEARCH(" ",A5))</f>
        <v>Gupta</v>
      </c>
      <c r="D5" s="71"/>
      <c r="E5" s="71">
        <f>LEN(A5)</f>
        <v>11</v>
      </c>
      <c r="F5" s="71">
        <f>SEARCH(" ",A5)</f>
        <v>6</v>
      </c>
      <c r="G5" s="70"/>
      <c r="H5" s="71"/>
      <c r="I5" s="83"/>
    </row>
    <row r="6" spans="1:10" ht="16.8" thickTop="1" thickBot="1" x14ac:dyDescent="0.35">
      <c r="A6" s="67" t="s">
        <v>30</v>
      </c>
      <c r="B6" s="71" t="str">
        <f t="shared" ref="B6:B11" si="0">LEFT(A6,SEARCH(" ",A6)-1)</f>
        <v>Sanjeev</v>
      </c>
      <c r="C6" s="71" t="str">
        <f t="shared" ref="C6" si="1">RIGHT(A6, LEN(A6) - SEARCH(" ",A6))</f>
        <v>kumar</v>
      </c>
      <c r="D6" s="69"/>
      <c r="E6" s="71">
        <f t="shared" ref="E6:E11" si="2">LEN(A6)</f>
        <v>13</v>
      </c>
      <c r="F6" s="71">
        <f t="shared" ref="F6:F11" si="3">SEARCH(" ",A6)</f>
        <v>8</v>
      </c>
      <c r="G6" s="70"/>
      <c r="H6" s="71"/>
      <c r="I6" s="83"/>
    </row>
    <row r="7" spans="1:10" ht="16.8" thickTop="1" thickBot="1" x14ac:dyDescent="0.35">
      <c r="A7" s="68" t="s">
        <v>31</v>
      </c>
      <c r="B7" s="71" t="str">
        <f t="shared" si="0"/>
        <v>Rohit</v>
      </c>
      <c r="C7" s="71" t="str">
        <f>RIGHT(A7,LEN(A7)-SEARCH(" ",A7,SEARCH(" ",A7)+1))</f>
        <v>Gupta</v>
      </c>
      <c r="D7" s="82" t="str">
        <f>MID(A7,SEARCH(" ",A7)+1,SEARCH(" ",A7,SEARCH(" ",A7)+1)-SEARCH(" ",A7))</f>
        <v xml:space="preserve">Kumar </v>
      </c>
      <c r="E7" s="71">
        <f t="shared" si="2"/>
        <v>17</v>
      </c>
      <c r="F7" s="71">
        <f t="shared" si="3"/>
        <v>6</v>
      </c>
      <c r="G7" s="70">
        <f>SEARCH(" ",A7,SEARCH(" ",A7)+1)</f>
        <v>12</v>
      </c>
      <c r="H7" s="71"/>
      <c r="I7" s="83"/>
      <c r="J7" s="23"/>
    </row>
    <row r="8" spans="1:10" ht="16.8" thickTop="1" thickBot="1" x14ac:dyDescent="0.35">
      <c r="A8" s="67" t="s">
        <v>32</v>
      </c>
      <c r="B8" s="71" t="str">
        <f t="shared" si="0"/>
        <v>Naveen</v>
      </c>
      <c r="C8" s="71" t="str">
        <f t="shared" ref="C8:C11" si="4">RIGHT(A8,LEN(A8)-SEARCH(" ",A8,SEARCH(" ",A8)+1))</f>
        <v>Singh</v>
      </c>
      <c r="D8" s="82" t="str">
        <f t="shared" ref="D8:D11" si="5">MID(A8,SEARCH(" ",A8)+1,SEARCH(" ",A8,SEARCH(" ",A8)+1)-SEARCH(" ",A8))</f>
        <v xml:space="preserve">Chauhan </v>
      </c>
      <c r="E8" s="71">
        <f t="shared" si="2"/>
        <v>20</v>
      </c>
      <c r="F8" s="71">
        <f t="shared" si="3"/>
        <v>7</v>
      </c>
      <c r="G8" s="70">
        <f t="shared" ref="G8:G11" si="6">SEARCH(" ",A8,SEARCH(" ",A8)+1)</f>
        <v>15</v>
      </c>
      <c r="H8" s="71"/>
      <c r="I8" s="83"/>
    </row>
    <row r="9" spans="1:10" ht="16.8" thickTop="1" thickBot="1" x14ac:dyDescent="0.35">
      <c r="A9" s="67" t="s">
        <v>33</v>
      </c>
      <c r="B9" s="71" t="str">
        <f t="shared" si="0"/>
        <v>Arti</v>
      </c>
      <c r="C9" s="71" t="str">
        <f t="shared" si="4"/>
        <v>Chauhan</v>
      </c>
      <c r="D9" s="82" t="str">
        <f t="shared" si="5"/>
        <v xml:space="preserve">Singh </v>
      </c>
      <c r="E9" s="71">
        <f t="shared" si="2"/>
        <v>18</v>
      </c>
      <c r="F9" s="71">
        <f t="shared" si="3"/>
        <v>5</v>
      </c>
      <c r="G9" s="70">
        <f t="shared" si="6"/>
        <v>11</v>
      </c>
      <c r="H9" s="71"/>
      <c r="I9" s="83"/>
    </row>
    <row r="10" spans="1:10" ht="16.8" thickTop="1" thickBot="1" x14ac:dyDescent="0.35">
      <c r="A10" s="68" t="s">
        <v>34</v>
      </c>
      <c r="B10" s="71" t="str">
        <f t="shared" si="0"/>
        <v>Rohit</v>
      </c>
      <c r="C10" s="71" t="str">
        <f t="shared" si="4"/>
        <v>Man</v>
      </c>
      <c r="D10" s="82" t="str">
        <f t="shared" si="5"/>
        <v xml:space="preserve">Arora </v>
      </c>
      <c r="E10" s="71">
        <f t="shared" si="2"/>
        <v>15</v>
      </c>
      <c r="F10" s="71">
        <f t="shared" si="3"/>
        <v>6</v>
      </c>
      <c r="G10" s="70">
        <f t="shared" si="6"/>
        <v>12</v>
      </c>
      <c r="H10" s="71"/>
      <c r="I10" s="83"/>
    </row>
    <row r="11" spans="1:10" ht="16.8" thickTop="1" thickBot="1" x14ac:dyDescent="0.35">
      <c r="A11" s="73" t="s">
        <v>35</v>
      </c>
      <c r="B11" s="71" t="str">
        <f t="shared" si="0"/>
        <v>Rahul</v>
      </c>
      <c r="C11" s="71" t="str">
        <f t="shared" si="4"/>
        <v>verma</v>
      </c>
      <c r="D11" s="82" t="str">
        <f t="shared" si="5"/>
        <v xml:space="preserve">badhe </v>
      </c>
      <c r="E11" s="71">
        <f t="shared" si="2"/>
        <v>17</v>
      </c>
      <c r="F11" s="71">
        <f t="shared" si="3"/>
        <v>6</v>
      </c>
      <c r="G11" s="70">
        <f t="shared" si="6"/>
        <v>12</v>
      </c>
      <c r="H11" s="119"/>
      <c r="I11" s="120"/>
    </row>
    <row r="12" spans="1:10" ht="15" thickTop="1" x14ac:dyDescent="0.3"/>
    <row r="19" spans="4:4" x14ac:dyDescent="0.3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E9" sqref="E9:H9"/>
    </sheetView>
  </sheetViews>
  <sheetFormatPr defaultRowHeight="14.4" x14ac:dyDescent="0.3"/>
  <sheetData>
    <row r="1" spans="1:9" ht="22.2" thickTop="1" thickBot="1" x14ac:dyDescent="0.35">
      <c r="A1" s="128" t="s">
        <v>112</v>
      </c>
      <c r="B1" s="129"/>
      <c r="C1" s="129"/>
      <c r="D1" s="129"/>
      <c r="E1" s="129"/>
      <c r="F1" s="129"/>
      <c r="G1" s="129"/>
      <c r="H1" s="130"/>
      <c r="I1" s="23"/>
    </row>
    <row r="2" spans="1:9" ht="15.6" thickTop="1" thickBot="1" x14ac:dyDescent="0.35">
      <c r="A2" s="38"/>
      <c r="B2" s="20"/>
      <c r="C2" s="20"/>
      <c r="D2" s="20"/>
      <c r="F2" s="20"/>
    </row>
    <row r="3" spans="1:9" ht="19.2" thickTop="1" thickBot="1" x14ac:dyDescent="0.35">
      <c r="A3" s="104" t="s">
        <v>113</v>
      </c>
      <c r="B3" s="131" t="s">
        <v>103</v>
      </c>
      <c r="C3" s="132"/>
      <c r="D3" s="132"/>
      <c r="E3" s="132"/>
      <c r="F3" s="132"/>
      <c r="G3" s="132"/>
      <c r="H3" s="133"/>
    </row>
    <row r="4" spans="1:9" ht="18" thickTop="1" x14ac:dyDescent="0.35">
      <c r="A4" s="103">
        <v>1</v>
      </c>
      <c r="B4" s="134" t="s">
        <v>106</v>
      </c>
      <c r="C4" s="135"/>
      <c r="D4" s="135"/>
      <c r="E4" s="135"/>
      <c r="F4" s="135"/>
      <c r="G4" s="135"/>
      <c r="H4" s="136"/>
    </row>
    <row r="5" spans="1:9" ht="17.399999999999999" x14ac:dyDescent="0.35">
      <c r="A5" s="101">
        <v>2</v>
      </c>
      <c r="B5" s="134" t="s">
        <v>108</v>
      </c>
      <c r="C5" s="135"/>
      <c r="D5" s="135"/>
      <c r="E5" s="135"/>
      <c r="F5" s="135"/>
      <c r="G5" s="135"/>
      <c r="H5" s="136"/>
      <c r="I5" s="23"/>
    </row>
    <row r="6" spans="1:9" ht="18" thickBot="1" x14ac:dyDescent="0.4">
      <c r="A6" s="102">
        <v>3</v>
      </c>
      <c r="B6" s="137" t="s">
        <v>110</v>
      </c>
      <c r="C6" s="138"/>
      <c r="D6" s="138"/>
      <c r="E6" s="138"/>
      <c r="F6" s="138"/>
      <c r="G6" s="138"/>
      <c r="H6" s="139"/>
      <c r="I6" s="23"/>
    </row>
    <row r="7" spans="1:9" ht="15.6" thickTop="1" thickBot="1" x14ac:dyDescent="0.35"/>
    <row r="8" spans="1:9" ht="18.45" customHeight="1" thickTop="1" thickBot="1" x14ac:dyDescent="0.35">
      <c r="A8" s="140" t="s">
        <v>86</v>
      </c>
      <c r="B8" s="143" t="s">
        <v>104</v>
      </c>
      <c r="C8" s="132"/>
      <c r="D8" s="132"/>
      <c r="E8" s="143" t="s">
        <v>105</v>
      </c>
      <c r="F8" s="132"/>
      <c r="G8" s="132"/>
      <c r="H8" s="133"/>
    </row>
    <row r="9" spans="1:9" ht="14.55" customHeight="1" thickTop="1" thickBot="1" x14ac:dyDescent="0.4">
      <c r="A9" s="141"/>
      <c r="B9" s="147" t="s">
        <v>107</v>
      </c>
      <c r="C9" s="148"/>
      <c r="D9" s="149"/>
      <c r="E9" s="144"/>
      <c r="F9" s="145"/>
      <c r="G9" s="145"/>
      <c r="H9" s="146"/>
    </row>
    <row r="10" spans="1:9" ht="14.55" customHeight="1" thickTop="1" thickBot="1" x14ac:dyDescent="0.4">
      <c r="A10" s="141"/>
      <c r="B10" s="150" t="s">
        <v>109</v>
      </c>
      <c r="C10" s="150"/>
      <c r="D10" s="150"/>
      <c r="E10" s="144"/>
      <c r="F10" s="145"/>
      <c r="G10" s="145"/>
      <c r="H10" s="146"/>
    </row>
    <row r="11" spans="1:9" ht="14.55" customHeight="1" thickTop="1" thickBot="1" x14ac:dyDescent="0.4">
      <c r="A11" s="142"/>
      <c r="B11" s="150" t="s">
        <v>111</v>
      </c>
      <c r="C11" s="150"/>
      <c r="D11" s="150"/>
      <c r="E11" s="144"/>
      <c r="F11" s="145"/>
      <c r="G11" s="145"/>
      <c r="H11" s="146"/>
      <c r="I11" s="23"/>
    </row>
    <row r="12" spans="1:9" ht="15" thickTop="1" x14ac:dyDescent="0.3">
      <c r="B12" s="20"/>
      <c r="C12" s="20"/>
      <c r="D12" s="20"/>
      <c r="E12" s="20"/>
      <c r="F12" s="20"/>
      <c r="G12" s="20"/>
      <c r="H12" s="20"/>
    </row>
  </sheetData>
  <mergeCells count="14">
    <mergeCell ref="A8:A11"/>
    <mergeCell ref="E8:H8"/>
    <mergeCell ref="E9:H9"/>
    <mergeCell ref="E10:H10"/>
    <mergeCell ref="E11:H11"/>
    <mergeCell ref="B8:D8"/>
    <mergeCell ref="B9:D9"/>
    <mergeCell ref="B10:D10"/>
    <mergeCell ref="B11:D11"/>
    <mergeCell ref="A1:H1"/>
    <mergeCell ref="B3:H3"/>
    <mergeCell ref="B4:H4"/>
    <mergeCell ref="B5:H5"/>
    <mergeCell ref="B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G6" sqref="G6:J6"/>
    </sheetView>
  </sheetViews>
  <sheetFormatPr defaultRowHeight="14.4" x14ac:dyDescent="0.3"/>
  <cols>
    <col min="4" max="4" width="10" customWidth="1"/>
  </cols>
  <sheetData>
    <row r="1" spans="1:13" ht="22.05" customHeight="1" thickTop="1" x14ac:dyDescent="0.3">
      <c r="A1" s="160" t="s">
        <v>124</v>
      </c>
      <c r="B1" s="161"/>
      <c r="C1" s="161"/>
      <c r="D1" s="161"/>
      <c r="E1" s="161"/>
      <c r="F1" s="161"/>
      <c r="G1" s="161"/>
      <c r="H1" s="161"/>
      <c r="I1" s="161"/>
      <c r="J1" s="162"/>
    </row>
    <row r="2" spans="1:13" ht="22.05" customHeight="1" thickBot="1" x14ac:dyDescent="0.35">
      <c r="A2" s="163"/>
      <c r="B2" s="164"/>
      <c r="C2" s="164"/>
      <c r="D2" s="164"/>
      <c r="E2" s="164"/>
      <c r="F2" s="164"/>
      <c r="G2" s="164"/>
      <c r="H2" s="164"/>
      <c r="I2" s="164"/>
      <c r="J2" s="165"/>
    </row>
    <row r="3" spans="1:13" s="15" customFormat="1" ht="22.05" customHeight="1" thickTop="1" thickBot="1" x14ac:dyDescent="0.35">
      <c r="A3" s="111"/>
      <c r="B3" s="106"/>
      <c r="C3" s="106"/>
      <c r="D3" s="106"/>
      <c r="E3" s="112"/>
      <c r="F3" s="106"/>
      <c r="G3" s="106"/>
      <c r="H3" s="106"/>
      <c r="I3" s="106"/>
      <c r="J3" s="106"/>
      <c r="K3" s="106"/>
    </row>
    <row r="4" spans="1:13" s="15" customFormat="1" ht="22.05" customHeight="1" thickTop="1" thickBot="1" x14ac:dyDescent="0.35">
      <c r="A4" s="166" t="s">
        <v>86</v>
      </c>
      <c r="B4" s="166"/>
      <c r="C4" s="166"/>
      <c r="D4" s="166"/>
      <c r="E4" s="166"/>
      <c r="F4" s="166"/>
      <c r="G4" s="166"/>
      <c r="H4" s="166"/>
      <c r="I4" s="166"/>
      <c r="J4" s="167"/>
      <c r="K4" s="109"/>
      <c r="M4"/>
    </row>
    <row r="5" spans="1:13" ht="19.2" thickTop="1" thickBot="1" x14ac:dyDescent="0.35">
      <c r="A5" s="105" t="s">
        <v>125</v>
      </c>
      <c r="B5" s="143" t="s">
        <v>104</v>
      </c>
      <c r="C5" s="132"/>
      <c r="D5" s="133"/>
      <c r="E5" s="143" t="s">
        <v>123</v>
      </c>
      <c r="F5" s="133"/>
      <c r="G5" s="143" t="s">
        <v>122</v>
      </c>
      <c r="H5" s="132"/>
      <c r="I5" s="132"/>
      <c r="J5" s="133"/>
    </row>
    <row r="6" spans="1:13" ht="18.600000000000001" thickTop="1" thickBot="1" x14ac:dyDescent="0.35">
      <c r="A6" s="108">
        <v>1</v>
      </c>
      <c r="B6" s="168" t="s">
        <v>121</v>
      </c>
      <c r="C6" s="170"/>
      <c r="D6" s="169"/>
      <c r="E6" s="168" t="s">
        <v>117</v>
      </c>
      <c r="F6" s="169"/>
      <c r="G6" s="151" t="str">
        <f>IF(E6="f","mrs.","mr.")&amp;RIGHT(B6,LEN(B6)-SEARCH(",",B6))&amp;" "&amp;LEFT(B6,SEARCH(",",B6)-1)</f>
        <v>mrs.bharti gupta</v>
      </c>
      <c r="H6" s="152"/>
      <c r="I6" s="152"/>
      <c r="J6" s="153"/>
      <c r="K6" s="23"/>
    </row>
    <row r="7" spans="1:13" ht="18.600000000000001" thickTop="1" thickBot="1" x14ac:dyDescent="0.35">
      <c r="A7" s="110">
        <v>2</v>
      </c>
      <c r="B7" s="155" t="s">
        <v>120</v>
      </c>
      <c r="C7" s="155"/>
      <c r="D7" s="155"/>
      <c r="E7" s="154" t="s">
        <v>114</v>
      </c>
      <c r="F7" s="156"/>
      <c r="G7" s="151" t="str">
        <f t="shared" ref="G7:G11" si="0">IF(E7="f","mrs.","mr.")&amp;RIGHT(B7,LEN(B7)-SEARCH(",",B7))&amp;" "&amp;LEFT(B7,SEARCH(",",B7)-1)</f>
        <v>mr.chandan negi</v>
      </c>
      <c r="H7" s="152"/>
      <c r="I7" s="152"/>
      <c r="J7" s="153"/>
      <c r="K7" s="23"/>
    </row>
    <row r="8" spans="1:13" ht="18.600000000000001" thickTop="1" thickBot="1" x14ac:dyDescent="0.35">
      <c r="A8" s="107">
        <v>3</v>
      </c>
      <c r="B8" s="154" t="s">
        <v>119</v>
      </c>
      <c r="C8" s="155"/>
      <c r="D8" s="156"/>
      <c r="E8" s="154" t="s">
        <v>117</v>
      </c>
      <c r="F8" s="156"/>
      <c r="G8" s="151" t="str">
        <f t="shared" si="0"/>
        <v>mrs.neha malhotra</v>
      </c>
      <c r="H8" s="152"/>
      <c r="I8" s="152"/>
      <c r="J8" s="153"/>
      <c r="K8" s="23"/>
    </row>
    <row r="9" spans="1:13" ht="18.600000000000001" thickTop="1" thickBot="1" x14ac:dyDescent="0.35">
      <c r="A9" s="107">
        <v>4</v>
      </c>
      <c r="B9" s="154" t="s">
        <v>118</v>
      </c>
      <c r="C9" s="155"/>
      <c r="D9" s="156"/>
      <c r="E9" s="154" t="s">
        <v>117</v>
      </c>
      <c r="F9" s="156"/>
      <c r="G9" s="151" t="str">
        <f t="shared" si="0"/>
        <v>mrs.daljeet kaur</v>
      </c>
      <c r="H9" s="152"/>
      <c r="I9" s="152"/>
      <c r="J9" s="153"/>
      <c r="K9" s="23"/>
    </row>
    <row r="10" spans="1:13" ht="18.600000000000001" thickTop="1" thickBot="1" x14ac:dyDescent="0.35">
      <c r="A10" s="107">
        <v>5</v>
      </c>
      <c r="B10" s="154" t="s">
        <v>116</v>
      </c>
      <c r="C10" s="155"/>
      <c r="D10" s="156"/>
      <c r="E10" s="154" t="s">
        <v>114</v>
      </c>
      <c r="F10" s="156"/>
      <c r="G10" s="151" t="str">
        <f t="shared" si="0"/>
        <v>mr.virit shukla</v>
      </c>
      <c r="H10" s="152"/>
      <c r="I10" s="152"/>
      <c r="J10" s="153"/>
      <c r="K10" s="23"/>
    </row>
    <row r="11" spans="1:13" ht="18.600000000000001" thickTop="1" thickBot="1" x14ac:dyDescent="0.35">
      <c r="A11" s="107">
        <v>6</v>
      </c>
      <c r="B11" s="157" t="s">
        <v>115</v>
      </c>
      <c r="C11" s="158"/>
      <c r="D11" s="159"/>
      <c r="E11" s="154" t="s">
        <v>114</v>
      </c>
      <c r="F11" s="156"/>
      <c r="G11" s="151" t="str">
        <f t="shared" si="0"/>
        <v>mr.priyank agarwal</v>
      </c>
      <c r="H11" s="152"/>
      <c r="I11" s="152"/>
      <c r="J11" s="153"/>
    </row>
    <row r="12" spans="1:13" ht="15" thickTop="1" x14ac:dyDescent="0.3">
      <c r="A12" s="20"/>
      <c r="E12" s="20"/>
      <c r="F12" s="20"/>
    </row>
  </sheetData>
  <mergeCells count="23"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J9"/>
  <sheetViews>
    <sheetView showGridLines="0" workbookViewId="0">
      <selection activeCell="I15" sqref="I15"/>
    </sheetView>
  </sheetViews>
  <sheetFormatPr defaultRowHeight="14.4" x14ac:dyDescent="0.3"/>
  <cols>
    <col min="8" max="8" width="20.5546875" customWidth="1"/>
  </cols>
  <sheetData>
    <row r="1" spans="1:10" ht="18" x14ac:dyDescent="0.3">
      <c r="A1" s="171" t="s">
        <v>132</v>
      </c>
      <c r="B1" s="172"/>
      <c r="C1" s="172"/>
      <c r="D1" s="172"/>
      <c r="E1" s="172"/>
      <c r="F1" s="172"/>
      <c r="G1" s="172"/>
      <c r="H1" s="172"/>
    </row>
    <row r="2" spans="1:10" ht="15" thickBot="1" x14ac:dyDescent="0.35"/>
    <row r="3" spans="1:10" ht="19.2" thickTop="1" thickBot="1" x14ac:dyDescent="0.35">
      <c r="A3" s="179" t="s">
        <v>86</v>
      </c>
      <c r="B3" s="180"/>
      <c r="C3" s="180"/>
      <c r="D3" s="180"/>
      <c r="E3" s="180"/>
      <c r="F3" s="180"/>
      <c r="G3" s="180"/>
      <c r="H3" s="180"/>
      <c r="I3" s="23"/>
    </row>
    <row r="4" spans="1:10" ht="19.2" thickTop="1" thickBot="1" x14ac:dyDescent="0.35">
      <c r="A4" s="114" t="s">
        <v>125</v>
      </c>
      <c r="B4" s="173" t="s">
        <v>131</v>
      </c>
      <c r="C4" s="174"/>
      <c r="D4" s="174"/>
      <c r="E4" s="174"/>
      <c r="F4" s="175"/>
      <c r="G4" s="181" t="s">
        <v>130</v>
      </c>
      <c r="H4" s="182"/>
      <c r="I4" s="23"/>
    </row>
    <row r="5" spans="1:10" ht="18.600000000000001" thickTop="1" thickBot="1" x14ac:dyDescent="0.4">
      <c r="A5" s="115">
        <v>1</v>
      </c>
      <c r="B5" s="176" t="s">
        <v>129</v>
      </c>
      <c r="C5" s="177"/>
      <c r="D5" s="177"/>
      <c r="E5" s="177"/>
      <c r="F5" s="178"/>
      <c r="G5" s="144" t="str">
        <f>RIGHT(B5,LEN(B5)-(SEARCH("checkno",B5)+7))</f>
        <v>12345</v>
      </c>
      <c r="H5" s="146"/>
      <c r="I5" s="23"/>
    </row>
    <row r="6" spans="1:10" ht="18.600000000000001" thickTop="1" thickBot="1" x14ac:dyDescent="0.4">
      <c r="A6" s="113">
        <v>2</v>
      </c>
      <c r="B6" s="134" t="s">
        <v>128</v>
      </c>
      <c r="C6" s="135"/>
      <c r="D6" s="135"/>
      <c r="E6" s="135"/>
      <c r="F6" s="136"/>
      <c r="G6" s="144" t="str">
        <f t="shared" ref="G6:G8" si="0">RIGHT(B6,LEN(B6)-(SEARCH("checkno",B6)+7))</f>
        <v>123456</v>
      </c>
      <c r="H6" s="146"/>
      <c r="I6" s="23"/>
    </row>
    <row r="7" spans="1:10" ht="18.600000000000001" thickTop="1" thickBot="1" x14ac:dyDescent="0.4">
      <c r="A7" s="113">
        <v>3</v>
      </c>
      <c r="B7" s="134" t="s">
        <v>127</v>
      </c>
      <c r="C7" s="135"/>
      <c r="D7" s="135"/>
      <c r="E7" s="135"/>
      <c r="F7" s="136"/>
      <c r="G7" s="144" t="str">
        <f t="shared" si="0"/>
        <v>000789</v>
      </c>
      <c r="H7" s="146"/>
      <c r="I7" s="23"/>
    </row>
    <row r="8" spans="1:10" ht="18.600000000000001" thickTop="1" thickBot="1" x14ac:dyDescent="0.4">
      <c r="A8" s="113">
        <v>4</v>
      </c>
      <c r="B8" s="137" t="s">
        <v>126</v>
      </c>
      <c r="C8" s="138"/>
      <c r="D8" s="138"/>
      <c r="E8" s="138"/>
      <c r="F8" s="139"/>
      <c r="G8" s="144" t="str">
        <f t="shared" si="0"/>
        <v>123456</v>
      </c>
      <c r="H8" s="146"/>
      <c r="I8" s="23"/>
      <c r="J8">
        <f>SEARCH("CHECKNO",B5)</f>
        <v>9</v>
      </c>
    </row>
    <row r="9" spans="1:10" ht="15" thickTop="1" x14ac:dyDescent="0.3">
      <c r="A9" s="20"/>
    </row>
  </sheetData>
  <mergeCells count="12">
    <mergeCell ref="B8:F8"/>
    <mergeCell ref="A3:H3"/>
    <mergeCell ref="G4:H4"/>
    <mergeCell ref="G5:H5"/>
    <mergeCell ref="G6:H6"/>
    <mergeCell ref="G7:H7"/>
    <mergeCell ref="G8:H8"/>
    <mergeCell ref="A1:H1"/>
    <mergeCell ref="B4:F4"/>
    <mergeCell ref="B5:F5"/>
    <mergeCell ref="B6:F6"/>
    <mergeCell ref="B7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6"/>
  <sheetViews>
    <sheetView showGridLines="0" tabSelected="1" topLeftCell="A2" workbookViewId="0">
      <selection activeCell="N11" sqref="N11"/>
    </sheetView>
  </sheetViews>
  <sheetFormatPr defaultRowHeight="14.4" x14ac:dyDescent="0.3"/>
  <cols>
    <col min="1" max="1" width="10.44140625" customWidth="1"/>
    <col min="2" max="2" width="17.21875" customWidth="1"/>
    <col min="3" max="6" width="14.21875" customWidth="1"/>
    <col min="7" max="7" width="16.21875" customWidth="1"/>
    <col min="8" max="8" width="16.109375" customWidth="1"/>
    <col min="9" max="11" width="14.21875" customWidth="1"/>
  </cols>
  <sheetData>
    <row r="1" spans="1:18" ht="19.2" thickTop="1" thickBot="1" x14ac:dyDescent="0.4">
      <c r="A1" s="58" t="s">
        <v>101</v>
      </c>
      <c r="B1" s="37"/>
      <c r="C1" s="37"/>
      <c r="D1" s="37"/>
      <c r="E1" s="37"/>
      <c r="F1" s="39"/>
      <c r="G1" s="37"/>
      <c r="H1" s="37"/>
      <c r="I1" s="37"/>
      <c r="J1" s="37"/>
      <c r="K1" s="39"/>
      <c r="L1" s="85"/>
      <c r="M1" s="5"/>
      <c r="N1" s="5"/>
      <c r="O1" s="5"/>
      <c r="P1" s="5"/>
      <c r="Q1" s="5"/>
      <c r="R1" s="5"/>
    </row>
    <row r="2" spans="1:18" ht="19.2" thickTop="1" thickBot="1" x14ac:dyDescent="0.4">
      <c r="A2" s="81"/>
      <c r="B2" s="76"/>
      <c r="C2" s="89"/>
      <c r="D2" s="81"/>
      <c r="E2" s="81"/>
      <c r="F2" s="76"/>
      <c r="G2" s="81"/>
      <c r="H2" s="76"/>
      <c r="I2" s="81"/>
      <c r="J2" s="81"/>
      <c r="K2" s="76"/>
      <c r="L2" s="5"/>
      <c r="M2" s="5"/>
      <c r="N2" s="5"/>
      <c r="O2" s="5"/>
      <c r="P2" s="5"/>
      <c r="Q2" s="5"/>
      <c r="R2" s="5"/>
    </row>
    <row r="3" spans="1:18" ht="19.2" thickTop="1" thickBot="1" x14ac:dyDescent="0.4">
      <c r="A3" s="183" t="s">
        <v>72</v>
      </c>
      <c r="B3" s="184"/>
      <c r="C3" s="184"/>
      <c r="D3" s="184"/>
      <c r="E3" s="185"/>
      <c r="F3" s="97"/>
      <c r="G3" s="198" t="s">
        <v>73</v>
      </c>
      <c r="H3" s="199"/>
      <c r="I3" s="199"/>
      <c r="J3" s="199"/>
      <c r="K3" s="200"/>
      <c r="L3" s="85"/>
      <c r="M3" s="5"/>
      <c r="N3" s="5"/>
      <c r="O3" s="5"/>
      <c r="P3" s="5"/>
      <c r="Q3" s="5"/>
      <c r="R3" s="5"/>
    </row>
    <row r="4" spans="1:18" ht="19.2" thickTop="1" thickBot="1" x14ac:dyDescent="0.4">
      <c r="A4" s="186"/>
      <c r="B4" s="187"/>
      <c r="C4" s="187"/>
      <c r="D4" s="187"/>
      <c r="E4" s="188"/>
      <c r="F4" s="76"/>
      <c r="G4" s="189" t="s">
        <v>36</v>
      </c>
      <c r="H4" s="190"/>
      <c r="I4" s="191"/>
      <c r="J4" s="189" t="s">
        <v>40</v>
      </c>
      <c r="K4" s="191"/>
      <c r="L4" s="5"/>
      <c r="M4" s="5"/>
      <c r="N4" s="5"/>
      <c r="O4" s="5"/>
      <c r="P4" s="5"/>
      <c r="Q4" s="5"/>
      <c r="R4" s="5"/>
    </row>
    <row r="5" spans="1:18" ht="19.2" thickTop="1" thickBot="1" x14ac:dyDescent="0.4">
      <c r="B5" s="28"/>
      <c r="E5" s="28"/>
      <c r="F5" s="76"/>
      <c r="G5" s="192" t="s">
        <v>74</v>
      </c>
      <c r="H5" s="193"/>
      <c r="I5" s="194"/>
      <c r="J5" s="192" t="s">
        <v>75</v>
      </c>
      <c r="K5" s="194"/>
      <c r="L5" s="5"/>
      <c r="M5" s="5"/>
      <c r="N5" s="5"/>
      <c r="O5" s="5"/>
      <c r="P5" s="5"/>
      <c r="Q5" s="5"/>
      <c r="R5" s="5"/>
    </row>
    <row r="6" spans="1:18" ht="18.600000000000001" thickTop="1" x14ac:dyDescent="0.35">
      <c r="A6" s="87" t="s">
        <v>83</v>
      </c>
      <c r="B6" s="98"/>
      <c r="C6" s="86"/>
      <c r="D6" s="86"/>
      <c r="E6" s="99"/>
      <c r="F6" s="76"/>
      <c r="G6" s="201" t="s">
        <v>76</v>
      </c>
      <c r="H6" s="202"/>
      <c r="I6" s="203"/>
      <c r="J6" s="201" t="s">
        <v>77</v>
      </c>
      <c r="K6" s="203"/>
      <c r="L6" s="5"/>
      <c r="M6" s="5"/>
      <c r="N6" s="5"/>
      <c r="O6" s="5"/>
      <c r="P6" s="5"/>
      <c r="Q6" s="5"/>
      <c r="R6" s="5"/>
    </row>
    <row r="7" spans="1:18" ht="18.600000000000001" thickBot="1" x14ac:dyDescent="0.4">
      <c r="A7" s="96" t="s">
        <v>84</v>
      </c>
      <c r="B7" s="98"/>
      <c r="C7" s="98"/>
      <c r="D7" s="98"/>
      <c r="E7" s="99"/>
      <c r="F7" s="76"/>
      <c r="G7" s="201" t="s">
        <v>78</v>
      </c>
      <c r="H7" s="202"/>
      <c r="I7" s="203"/>
      <c r="J7" s="201" t="s">
        <v>79</v>
      </c>
      <c r="K7" s="203"/>
      <c r="L7" s="5"/>
      <c r="M7" s="5"/>
      <c r="N7" s="5"/>
      <c r="O7" s="5"/>
      <c r="P7" s="5"/>
      <c r="Q7" s="5"/>
      <c r="R7" s="5"/>
    </row>
    <row r="8" spans="1:18" ht="18.600000000000001" thickTop="1" x14ac:dyDescent="0.35">
      <c r="A8" s="20"/>
      <c r="B8" s="20"/>
      <c r="C8" s="20"/>
      <c r="D8" s="20"/>
      <c r="E8" s="20"/>
      <c r="F8" s="76"/>
      <c r="G8" s="201" t="s">
        <v>80</v>
      </c>
      <c r="H8" s="202"/>
      <c r="I8" s="203"/>
      <c r="J8" s="201" t="s">
        <v>0</v>
      </c>
      <c r="K8" s="203"/>
      <c r="L8" s="5"/>
      <c r="M8" s="5"/>
      <c r="N8" s="5"/>
      <c r="O8" s="5"/>
      <c r="P8" s="5"/>
      <c r="Q8" s="5"/>
      <c r="R8" s="5"/>
    </row>
    <row r="9" spans="1:18" ht="18.600000000000001" thickBot="1" x14ac:dyDescent="0.4">
      <c r="F9" s="76"/>
      <c r="G9" s="195" t="s">
        <v>81</v>
      </c>
      <c r="H9" s="196"/>
      <c r="I9" s="197"/>
      <c r="J9" s="195" t="s">
        <v>82</v>
      </c>
      <c r="K9" s="197"/>
      <c r="L9" s="5"/>
      <c r="M9" s="5"/>
      <c r="N9" s="5"/>
      <c r="O9" s="5"/>
      <c r="P9" s="5"/>
      <c r="Q9" s="5"/>
      <c r="R9" s="5"/>
    </row>
    <row r="10" spans="1:18" ht="19.2" thickTop="1" thickBot="1" x14ac:dyDescent="0.4">
      <c r="A10" s="76"/>
      <c r="B10" s="76"/>
      <c r="C10" s="76"/>
      <c r="D10" s="76"/>
      <c r="E10" s="76"/>
      <c r="F10" s="76"/>
      <c r="G10" s="76"/>
      <c r="H10" s="76"/>
      <c r="I10" s="100"/>
      <c r="J10" s="76"/>
      <c r="K10" s="76"/>
      <c r="L10" s="5"/>
      <c r="M10" s="5"/>
      <c r="N10" s="5"/>
      <c r="O10" s="5"/>
      <c r="P10" s="5"/>
      <c r="Q10" s="5"/>
      <c r="R10" s="5"/>
    </row>
    <row r="11" spans="1:18" s="15" customFormat="1" ht="19.2" thickTop="1" thickBot="1" x14ac:dyDescent="0.35">
      <c r="A11" s="88" t="s">
        <v>61</v>
      </c>
      <c r="B11" s="88" t="s">
        <v>62</v>
      </c>
      <c r="C11" s="88" t="s">
        <v>63</v>
      </c>
      <c r="D11" s="88" t="s">
        <v>64</v>
      </c>
      <c r="E11" s="88" t="s">
        <v>65</v>
      </c>
      <c r="F11" s="88" t="s">
        <v>66</v>
      </c>
      <c r="G11" s="88" t="s">
        <v>67</v>
      </c>
      <c r="H11" s="88" t="s">
        <v>68</v>
      </c>
      <c r="I11" s="88" t="s">
        <v>69</v>
      </c>
      <c r="J11" s="88" t="s">
        <v>70</v>
      </c>
      <c r="K11" s="88" t="s">
        <v>71</v>
      </c>
      <c r="L11" s="84"/>
      <c r="M11" s="84"/>
      <c r="N11" s="84"/>
      <c r="O11" s="84"/>
      <c r="P11" s="84"/>
      <c r="Q11" s="84"/>
      <c r="R11" s="84"/>
    </row>
    <row r="12" spans="1:18" ht="15.45" customHeight="1" thickTop="1" thickBot="1" x14ac:dyDescent="0.35">
      <c r="A12" s="90">
        <v>815864</v>
      </c>
      <c r="B12" s="90" t="s">
        <v>37</v>
      </c>
      <c r="C12" s="90">
        <v>57</v>
      </c>
      <c r="D12" s="90">
        <v>25</v>
      </c>
      <c r="E12" s="90">
        <v>41</v>
      </c>
      <c r="F12" s="90">
        <v>62</v>
      </c>
      <c r="G12" s="90">
        <v>93</v>
      </c>
      <c r="H12" s="95">
        <f>SUM(C12:G12)</f>
        <v>278</v>
      </c>
      <c r="I12" s="118">
        <f>H12/500</f>
        <v>0.55600000000000005</v>
      </c>
      <c r="J12" s="118" t="str" cm="1">
        <f t="array" ref="J12:J34">_xlfn.SWITCH(TRUE,I12:I34&gt;80.01%,"A+",I12:I34&gt;60.01%,"A",I12:I34&gt;=45.01%,"B",I12:I34&gt;=33.01%,"C")</f>
        <v>B</v>
      </c>
      <c r="K12" s="118" t="str">
        <f>IF(I12&gt;35%,"PASS","FAIL")</f>
        <v>PASS</v>
      </c>
      <c r="L12" s="5"/>
      <c r="R12" s="5"/>
    </row>
    <row r="13" spans="1:18" ht="16.8" thickTop="1" thickBot="1" x14ac:dyDescent="0.35">
      <c r="A13" s="91">
        <v>815865</v>
      </c>
      <c r="B13" s="91" t="s">
        <v>38</v>
      </c>
      <c r="C13" s="91">
        <v>52</v>
      </c>
      <c r="D13" s="91">
        <v>64</v>
      </c>
      <c r="E13" s="91">
        <v>40</v>
      </c>
      <c r="F13" s="91">
        <v>62</v>
      </c>
      <c r="G13" s="91">
        <v>48</v>
      </c>
      <c r="H13" s="95">
        <f t="shared" ref="H13:H34" si="0">SUM(C13:G13)</f>
        <v>266</v>
      </c>
      <c r="I13" s="118">
        <f t="shared" ref="I13:I34" si="1">H13/500</f>
        <v>0.53200000000000003</v>
      </c>
      <c r="J13" s="116" t="str">
        <v>B</v>
      </c>
      <c r="K13" s="118" t="str">
        <f t="shared" ref="K13:K34" si="2">IF(I13&gt;35%,"PASS","FAIL")</f>
        <v>PASS</v>
      </c>
      <c r="L13" s="5"/>
      <c r="R13" s="5"/>
    </row>
    <row r="14" spans="1:18" ht="16.8" thickTop="1" thickBot="1" x14ac:dyDescent="0.35">
      <c r="A14" s="91">
        <v>815866</v>
      </c>
      <c r="B14" s="91" t="s">
        <v>39</v>
      </c>
      <c r="C14" s="91">
        <v>35</v>
      </c>
      <c r="D14" s="91">
        <v>60</v>
      </c>
      <c r="E14" s="91">
        <v>44</v>
      </c>
      <c r="F14" s="91">
        <v>59</v>
      </c>
      <c r="G14" s="91">
        <v>82</v>
      </c>
      <c r="H14" s="95">
        <f t="shared" si="0"/>
        <v>280</v>
      </c>
      <c r="I14" s="118">
        <f t="shared" si="1"/>
        <v>0.56000000000000005</v>
      </c>
      <c r="J14" s="116" t="str">
        <v>B</v>
      </c>
      <c r="K14" s="118" t="str">
        <f t="shared" si="2"/>
        <v>PASS</v>
      </c>
      <c r="L14" s="5"/>
      <c r="R14" s="5"/>
    </row>
    <row r="15" spans="1:18" ht="16.8" thickTop="1" thickBot="1" x14ac:dyDescent="0.35">
      <c r="A15" s="91">
        <v>815867</v>
      </c>
      <c r="B15" s="91" t="s">
        <v>41</v>
      </c>
      <c r="C15" s="91">
        <v>65</v>
      </c>
      <c r="D15" s="91">
        <v>86</v>
      </c>
      <c r="E15" s="91">
        <v>24</v>
      </c>
      <c r="F15" s="91">
        <v>88</v>
      </c>
      <c r="G15" s="91">
        <v>96</v>
      </c>
      <c r="H15" s="95">
        <f t="shared" si="0"/>
        <v>359</v>
      </c>
      <c r="I15" s="118">
        <f t="shared" si="1"/>
        <v>0.71799999999999997</v>
      </c>
      <c r="J15" s="116" t="str">
        <v>A</v>
      </c>
      <c r="K15" s="118" t="str">
        <f t="shared" si="2"/>
        <v>PASS</v>
      </c>
    </row>
    <row r="16" spans="1:18" ht="16.8" thickTop="1" thickBot="1" x14ac:dyDescent="0.35">
      <c r="A16" s="91">
        <v>815868</v>
      </c>
      <c r="B16" s="91" t="s">
        <v>42</v>
      </c>
      <c r="C16" s="91">
        <v>42</v>
      </c>
      <c r="D16" s="91">
        <v>74</v>
      </c>
      <c r="E16" s="91">
        <v>83</v>
      </c>
      <c r="F16" s="91">
        <v>96</v>
      </c>
      <c r="G16" s="91">
        <v>72</v>
      </c>
      <c r="H16" s="95">
        <f t="shared" si="0"/>
        <v>367</v>
      </c>
      <c r="I16" s="118">
        <f t="shared" si="1"/>
        <v>0.73399999999999999</v>
      </c>
      <c r="J16" s="118" t="str">
        <v>A</v>
      </c>
      <c r="K16" s="118" t="str">
        <f t="shared" si="2"/>
        <v>PASS</v>
      </c>
    </row>
    <row r="17" spans="1:18" ht="16.8" thickTop="1" thickBot="1" x14ac:dyDescent="0.35">
      <c r="A17" s="91">
        <v>815869</v>
      </c>
      <c r="B17" s="91" t="s">
        <v>43</v>
      </c>
      <c r="C17" s="91">
        <v>21</v>
      </c>
      <c r="D17" s="91">
        <v>85</v>
      </c>
      <c r="E17" s="91">
        <v>73</v>
      </c>
      <c r="F17" s="91">
        <v>30</v>
      </c>
      <c r="G17" s="91">
        <v>36</v>
      </c>
      <c r="H17" s="95">
        <f t="shared" si="0"/>
        <v>245</v>
      </c>
      <c r="I17" s="118">
        <f t="shared" si="1"/>
        <v>0.49</v>
      </c>
      <c r="J17" s="116" t="str">
        <v>B</v>
      </c>
      <c r="K17" s="118" t="str">
        <f t="shared" si="2"/>
        <v>PASS</v>
      </c>
    </row>
    <row r="18" spans="1:18" ht="16.8" thickTop="1" thickBot="1" x14ac:dyDescent="0.35">
      <c r="A18" s="91">
        <v>815870</v>
      </c>
      <c r="B18" s="91" t="s">
        <v>44</v>
      </c>
      <c r="C18" s="91">
        <v>76</v>
      </c>
      <c r="D18" s="91">
        <v>37</v>
      </c>
      <c r="E18" s="91">
        <v>33</v>
      </c>
      <c r="F18" s="91">
        <v>67</v>
      </c>
      <c r="G18" s="91">
        <v>62</v>
      </c>
      <c r="H18" s="95">
        <f t="shared" si="0"/>
        <v>275</v>
      </c>
      <c r="I18" s="118">
        <f t="shared" si="1"/>
        <v>0.55000000000000004</v>
      </c>
      <c r="J18" s="116" t="str">
        <v>B</v>
      </c>
      <c r="K18" s="118" t="str">
        <f t="shared" si="2"/>
        <v>PASS</v>
      </c>
    </row>
    <row r="19" spans="1:18" ht="16.8" thickTop="1" thickBot="1" x14ac:dyDescent="0.35">
      <c r="A19" s="91">
        <v>815871</v>
      </c>
      <c r="B19" s="91" t="s">
        <v>45</v>
      </c>
      <c r="C19" s="91">
        <v>71</v>
      </c>
      <c r="D19" s="91">
        <v>85</v>
      </c>
      <c r="E19" s="91">
        <v>89</v>
      </c>
      <c r="F19" s="91">
        <v>88</v>
      </c>
      <c r="G19" s="91">
        <v>88</v>
      </c>
      <c r="H19" s="95">
        <f t="shared" si="0"/>
        <v>421</v>
      </c>
      <c r="I19" s="118">
        <f t="shared" si="1"/>
        <v>0.84199999999999997</v>
      </c>
      <c r="J19" s="116" t="str">
        <v>A+</v>
      </c>
      <c r="K19" s="118" t="str">
        <f t="shared" si="2"/>
        <v>PASS</v>
      </c>
    </row>
    <row r="20" spans="1:18" ht="16.8" thickTop="1" thickBot="1" x14ac:dyDescent="0.35">
      <c r="A20" s="92">
        <v>815872</v>
      </c>
      <c r="B20" s="91" t="s">
        <v>46</v>
      </c>
      <c r="C20" s="92">
        <v>88</v>
      </c>
      <c r="D20" s="93">
        <v>86</v>
      </c>
      <c r="E20" s="93">
        <v>91</v>
      </c>
      <c r="F20" s="93">
        <v>99</v>
      </c>
      <c r="G20" s="93">
        <v>90</v>
      </c>
      <c r="H20" s="95">
        <f t="shared" si="0"/>
        <v>454</v>
      </c>
      <c r="I20" s="118">
        <f t="shared" si="1"/>
        <v>0.90800000000000003</v>
      </c>
      <c r="J20" s="116" t="str">
        <v>A+</v>
      </c>
      <c r="K20" s="118" t="str">
        <f t="shared" si="2"/>
        <v>PASS</v>
      </c>
    </row>
    <row r="21" spans="1:18" ht="16.8" thickTop="1" thickBot="1" x14ac:dyDescent="0.35">
      <c r="A21" s="91">
        <v>815873</v>
      </c>
      <c r="B21" s="91" t="s">
        <v>47</v>
      </c>
      <c r="C21" s="91">
        <v>29</v>
      </c>
      <c r="D21" s="91">
        <v>34</v>
      </c>
      <c r="E21" s="91">
        <v>89</v>
      </c>
      <c r="F21" s="91">
        <v>60</v>
      </c>
      <c r="G21" s="91">
        <v>70</v>
      </c>
      <c r="H21" s="95">
        <f t="shared" si="0"/>
        <v>282</v>
      </c>
      <c r="I21" s="118">
        <f t="shared" si="1"/>
        <v>0.56399999999999995</v>
      </c>
      <c r="J21" s="116" t="str">
        <v>B</v>
      </c>
      <c r="K21" s="118" t="str">
        <f t="shared" si="2"/>
        <v>PASS</v>
      </c>
    </row>
    <row r="22" spans="1:18" ht="16.8" thickTop="1" thickBot="1" x14ac:dyDescent="0.35">
      <c r="A22" s="91">
        <v>815874</v>
      </c>
      <c r="B22" s="91" t="s">
        <v>48</v>
      </c>
      <c r="C22" s="91">
        <v>26</v>
      </c>
      <c r="D22" s="91">
        <v>82</v>
      </c>
      <c r="E22" s="91">
        <v>73</v>
      </c>
      <c r="F22" s="91">
        <v>46</v>
      </c>
      <c r="G22" s="91">
        <v>62</v>
      </c>
      <c r="H22" s="95">
        <f t="shared" si="0"/>
        <v>289</v>
      </c>
      <c r="I22" s="118">
        <f t="shared" si="1"/>
        <v>0.57799999999999996</v>
      </c>
      <c r="J22" s="116" t="str">
        <v>B</v>
      </c>
      <c r="K22" s="118" t="str">
        <f t="shared" si="2"/>
        <v>PASS</v>
      </c>
    </row>
    <row r="23" spans="1:18" ht="16.8" thickTop="1" thickBot="1" x14ac:dyDescent="0.35">
      <c r="A23" s="91">
        <v>815875</v>
      </c>
      <c r="B23" s="91" t="s">
        <v>49</v>
      </c>
      <c r="C23" s="91">
        <v>53</v>
      </c>
      <c r="D23" s="91">
        <v>27</v>
      </c>
      <c r="E23" s="91">
        <v>30</v>
      </c>
      <c r="F23" s="91">
        <v>86</v>
      </c>
      <c r="G23" s="91">
        <v>38</v>
      </c>
      <c r="H23" s="95">
        <f t="shared" si="0"/>
        <v>234</v>
      </c>
      <c r="I23" s="118">
        <f t="shared" si="1"/>
        <v>0.46800000000000003</v>
      </c>
      <c r="J23" s="116" t="str">
        <v>B</v>
      </c>
      <c r="K23" s="118" t="str">
        <f t="shared" si="2"/>
        <v>PASS</v>
      </c>
    </row>
    <row r="24" spans="1:18" ht="16.8" thickTop="1" thickBot="1" x14ac:dyDescent="0.35">
      <c r="A24" s="91">
        <v>815876</v>
      </c>
      <c r="B24" s="91" t="s">
        <v>50</v>
      </c>
      <c r="C24" s="91">
        <v>66</v>
      </c>
      <c r="D24" s="91">
        <v>22</v>
      </c>
      <c r="E24" s="91">
        <v>50</v>
      </c>
      <c r="F24" s="91">
        <v>73</v>
      </c>
      <c r="G24" s="91">
        <v>23</v>
      </c>
      <c r="H24" s="95">
        <f t="shared" si="0"/>
        <v>234</v>
      </c>
      <c r="I24" s="118">
        <f t="shared" si="1"/>
        <v>0.46800000000000003</v>
      </c>
      <c r="J24" s="116" t="str">
        <v>B</v>
      </c>
      <c r="K24" s="118" t="str">
        <f t="shared" si="2"/>
        <v>PASS</v>
      </c>
    </row>
    <row r="25" spans="1:18" ht="16.8" thickTop="1" thickBot="1" x14ac:dyDescent="0.35">
      <c r="A25" s="91">
        <v>815877</v>
      </c>
      <c r="B25" s="91" t="s">
        <v>51</v>
      </c>
      <c r="C25" s="91">
        <v>33</v>
      </c>
      <c r="D25" s="91">
        <v>63</v>
      </c>
      <c r="E25" s="91">
        <v>95</v>
      </c>
      <c r="F25" s="91">
        <v>74</v>
      </c>
      <c r="G25" s="91">
        <v>70</v>
      </c>
      <c r="H25" s="95">
        <f t="shared" si="0"/>
        <v>335</v>
      </c>
      <c r="I25" s="118">
        <f t="shared" si="1"/>
        <v>0.67</v>
      </c>
      <c r="J25" s="116" t="str">
        <v>A</v>
      </c>
      <c r="K25" s="118" t="str">
        <f t="shared" si="2"/>
        <v>PASS</v>
      </c>
    </row>
    <row r="26" spans="1:18" ht="16.8" thickTop="1" thickBot="1" x14ac:dyDescent="0.35">
      <c r="A26" s="91">
        <v>815878</v>
      </c>
      <c r="B26" s="91" t="s">
        <v>52</v>
      </c>
      <c r="C26" s="91">
        <v>24</v>
      </c>
      <c r="D26" s="91">
        <v>51</v>
      </c>
      <c r="E26" s="91">
        <v>70</v>
      </c>
      <c r="F26" s="91">
        <v>47</v>
      </c>
      <c r="G26" s="91">
        <v>28</v>
      </c>
      <c r="H26" s="95">
        <f t="shared" si="0"/>
        <v>220</v>
      </c>
      <c r="I26" s="118">
        <f t="shared" si="1"/>
        <v>0.44</v>
      </c>
      <c r="J26" s="116" t="str">
        <v>C</v>
      </c>
      <c r="K26" s="118" t="str">
        <f t="shared" si="2"/>
        <v>PASS</v>
      </c>
    </row>
    <row r="27" spans="1:18" ht="16.8" thickTop="1" thickBot="1" x14ac:dyDescent="0.35">
      <c r="A27" s="91">
        <v>815879</v>
      </c>
      <c r="B27" s="91" t="s">
        <v>53</v>
      </c>
      <c r="C27" s="91">
        <v>62</v>
      </c>
      <c r="D27" s="91">
        <v>88</v>
      </c>
      <c r="E27" s="91">
        <v>84</v>
      </c>
      <c r="F27" s="91">
        <v>68</v>
      </c>
      <c r="G27" s="91">
        <v>65</v>
      </c>
      <c r="H27" s="95">
        <f t="shared" si="0"/>
        <v>367</v>
      </c>
      <c r="I27" s="118">
        <f t="shared" si="1"/>
        <v>0.73399999999999999</v>
      </c>
      <c r="J27" s="116" t="str">
        <v>A</v>
      </c>
      <c r="K27" s="118" t="str">
        <f t="shared" si="2"/>
        <v>PASS</v>
      </c>
    </row>
    <row r="28" spans="1:18" ht="16.8" thickTop="1" thickBot="1" x14ac:dyDescent="0.35">
      <c r="A28" s="91">
        <v>815880</v>
      </c>
      <c r="B28" s="91" t="s">
        <v>54</v>
      </c>
      <c r="C28" s="91">
        <v>21</v>
      </c>
      <c r="D28" s="91">
        <v>41</v>
      </c>
      <c r="E28" s="91">
        <v>41</v>
      </c>
      <c r="F28" s="91">
        <v>62</v>
      </c>
      <c r="G28" s="91">
        <v>47</v>
      </c>
      <c r="H28" s="95">
        <f t="shared" si="0"/>
        <v>212</v>
      </c>
      <c r="I28" s="118">
        <f t="shared" si="1"/>
        <v>0.42399999999999999</v>
      </c>
      <c r="J28" s="116" t="str">
        <v>C</v>
      </c>
      <c r="K28" s="118" t="str">
        <f t="shared" si="2"/>
        <v>PASS</v>
      </c>
      <c r="L28" s="5"/>
      <c r="M28" s="5"/>
      <c r="N28" s="5"/>
      <c r="O28" s="5"/>
      <c r="P28" s="5"/>
      <c r="Q28" s="5"/>
      <c r="R28" s="5"/>
    </row>
    <row r="29" spans="1:18" ht="16.8" thickTop="1" thickBot="1" x14ac:dyDescent="0.35">
      <c r="A29" s="91">
        <v>815881</v>
      </c>
      <c r="B29" s="91" t="s">
        <v>55</v>
      </c>
      <c r="C29" s="91">
        <v>92</v>
      </c>
      <c r="D29" s="91">
        <v>53</v>
      </c>
      <c r="E29" s="91">
        <v>91</v>
      </c>
      <c r="F29" s="91">
        <v>32</v>
      </c>
      <c r="G29" s="91">
        <v>52</v>
      </c>
      <c r="H29" s="95">
        <f t="shared" si="0"/>
        <v>320</v>
      </c>
      <c r="I29" s="118">
        <f t="shared" si="1"/>
        <v>0.64</v>
      </c>
      <c r="J29" s="116" t="str">
        <v>A</v>
      </c>
      <c r="K29" s="118" t="str">
        <f t="shared" si="2"/>
        <v>PASS</v>
      </c>
      <c r="L29" s="5"/>
      <c r="M29" s="5"/>
      <c r="N29" s="5"/>
      <c r="O29" s="5"/>
      <c r="P29" s="5"/>
      <c r="Q29" s="5"/>
      <c r="R29" s="5"/>
    </row>
    <row r="30" spans="1:18" ht="16.8" thickTop="1" thickBot="1" x14ac:dyDescent="0.35">
      <c r="A30" s="91">
        <v>815882</v>
      </c>
      <c r="B30" s="91" t="s">
        <v>56</v>
      </c>
      <c r="C30" s="91">
        <v>71</v>
      </c>
      <c r="D30" s="91">
        <v>88</v>
      </c>
      <c r="E30" s="91">
        <v>25</v>
      </c>
      <c r="F30" s="91">
        <v>89</v>
      </c>
      <c r="G30" s="91">
        <v>72</v>
      </c>
      <c r="H30" s="95">
        <f t="shared" si="0"/>
        <v>345</v>
      </c>
      <c r="I30" s="118">
        <f t="shared" si="1"/>
        <v>0.69</v>
      </c>
      <c r="J30" s="116" t="str">
        <v>A</v>
      </c>
      <c r="K30" s="118" t="str">
        <f t="shared" si="2"/>
        <v>PASS</v>
      </c>
      <c r="L30" s="5"/>
      <c r="M30" s="5"/>
      <c r="N30" s="5"/>
      <c r="O30" s="5"/>
      <c r="P30" s="5"/>
      <c r="Q30" s="5"/>
      <c r="R30" s="5"/>
    </row>
    <row r="31" spans="1:18" ht="16.8" thickTop="1" thickBot="1" x14ac:dyDescent="0.35">
      <c r="A31" s="91">
        <v>815883</v>
      </c>
      <c r="B31" s="91" t="s">
        <v>57</v>
      </c>
      <c r="C31" s="91">
        <v>66</v>
      </c>
      <c r="D31" s="91">
        <v>68</v>
      </c>
      <c r="E31" s="91">
        <v>96</v>
      </c>
      <c r="F31" s="91">
        <v>44</v>
      </c>
      <c r="G31" s="91">
        <v>72</v>
      </c>
      <c r="H31" s="95">
        <f t="shared" si="0"/>
        <v>346</v>
      </c>
      <c r="I31" s="118">
        <f t="shared" si="1"/>
        <v>0.69199999999999995</v>
      </c>
      <c r="J31" s="116" t="str">
        <v>A</v>
      </c>
      <c r="K31" s="118" t="str">
        <f t="shared" si="2"/>
        <v>PASS</v>
      </c>
      <c r="L31" s="5"/>
      <c r="M31" s="5"/>
      <c r="N31" s="5"/>
      <c r="O31" s="5"/>
      <c r="P31" s="5"/>
      <c r="Q31" s="5"/>
      <c r="R31" s="5"/>
    </row>
    <row r="32" spans="1:18" ht="16.8" thickTop="1" thickBot="1" x14ac:dyDescent="0.35">
      <c r="A32" s="91">
        <v>815884</v>
      </c>
      <c r="B32" s="91" t="s">
        <v>58</v>
      </c>
      <c r="C32" s="91">
        <v>33</v>
      </c>
      <c r="D32" s="91">
        <v>29</v>
      </c>
      <c r="E32" s="91">
        <v>27</v>
      </c>
      <c r="F32" s="91">
        <v>44</v>
      </c>
      <c r="G32" s="91">
        <v>21</v>
      </c>
      <c r="H32" s="95">
        <f t="shared" si="0"/>
        <v>154</v>
      </c>
      <c r="I32" s="118">
        <f t="shared" si="1"/>
        <v>0.308</v>
      </c>
      <c r="J32" s="116" t="e">
        <v>#N/A</v>
      </c>
      <c r="K32" s="118" t="str">
        <f t="shared" si="2"/>
        <v>FAIL</v>
      </c>
      <c r="L32" s="5"/>
      <c r="M32" s="5"/>
      <c r="N32" s="5"/>
      <c r="O32" s="5"/>
      <c r="P32" s="5"/>
      <c r="Q32" s="5"/>
      <c r="R32" s="5"/>
    </row>
    <row r="33" spans="1:18" ht="16.8" thickTop="1" thickBot="1" x14ac:dyDescent="0.35">
      <c r="A33" s="91">
        <v>815885</v>
      </c>
      <c r="B33" s="91" t="s">
        <v>59</v>
      </c>
      <c r="C33" s="91">
        <v>22</v>
      </c>
      <c r="D33" s="91">
        <v>28</v>
      </c>
      <c r="E33" s="91">
        <v>33</v>
      </c>
      <c r="F33" s="91">
        <v>26</v>
      </c>
      <c r="G33" s="91">
        <v>42</v>
      </c>
      <c r="H33" s="95">
        <f t="shared" si="0"/>
        <v>151</v>
      </c>
      <c r="I33" s="118">
        <f t="shared" si="1"/>
        <v>0.30199999999999999</v>
      </c>
      <c r="J33" s="118" t="e">
        <v>#N/A</v>
      </c>
      <c r="K33" s="118" t="str">
        <f t="shared" si="2"/>
        <v>FAIL</v>
      </c>
      <c r="L33" s="5"/>
      <c r="M33" s="5"/>
      <c r="N33" s="5"/>
      <c r="O33" s="5"/>
      <c r="P33" s="5"/>
      <c r="Q33" s="5"/>
      <c r="R33" s="5"/>
    </row>
    <row r="34" spans="1:18" ht="16.8" thickTop="1" thickBot="1" x14ac:dyDescent="0.35">
      <c r="A34" s="94">
        <v>815886</v>
      </c>
      <c r="B34" s="94" t="s">
        <v>60</v>
      </c>
      <c r="C34" s="94">
        <v>48</v>
      </c>
      <c r="D34" s="94">
        <v>82</v>
      </c>
      <c r="E34" s="94">
        <v>95</v>
      </c>
      <c r="F34" s="94">
        <v>53</v>
      </c>
      <c r="G34" s="94">
        <v>47</v>
      </c>
      <c r="H34" s="95">
        <f t="shared" si="0"/>
        <v>325</v>
      </c>
      <c r="I34" s="118">
        <f t="shared" si="1"/>
        <v>0.65</v>
      </c>
      <c r="J34" s="118" t="str">
        <v>A</v>
      </c>
      <c r="K34" s="118" t="str">
        <f t="shared" si="2"/>
        <v>PASS</v>
      </c>
      <c r="L34" s="5"/>
      <c r="M34" s="5"/>
      <c r="N34" s="5"/>
      <c r="O34" s="5"/>
      <c r="P34" s="5"/>
      <c r="Q34" s="5"/>
      <c r="R34" s="5"/>
    </row>
    <row r="35" spans="1:18" ht="16.2" thickTop="1" x14ac:dyDescent="0.3">
      <c r="H35" s="20"/>
      <c r="K35" s="20"/>
      <c r="L35" s="5"/>
      <c r="M35" s="5"/>
      <c r="N35" s="5"/>
      <c r="O35" s="5"/>
      <c r="P35" s="5"/>
      <c r="Q35" s="5"/>
      <c r="R35" s="5"/>
    </row>
    <row r="36" spans="1:18" ht="15.6" x14ac:dyDescent="0.3">
      <c r="H36" s="117"/>
    </row>
  </sheetData>
  <mergeCells count="14">
    <mergeCell ref="G9:I9"/>
    <mergeCell ref="J9:K9"/>
    <mergeCell ref="G3:K3"/>
    <mergeCell ref="G6:I6"/>
    <mergeCell ref="J6:K6"/>
    <mergeCell ref="G7:I7"/>
    <mergeCell ref="J7:K7"/>
    <mergeCell ref="G8:I8"/>
    <mergeCell ref="J8:K8"/>
    <mergeCell ref="A3:E4"/>
    <mergeCell ref="G4:I4"/>
    <mergeCell ref="J4:K4"/>
    <mergeCell ref="G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Mrunali Bind</cp:lastModifiedBy>
  <dcterms:created xsi:type="dcterms:W3CDTF">2011-10-09T12:51:01Z</dcterms:created>
  <dcterms:modified xsi:type="dcterms:W3CDTF">2026-01-03T08:29:40Z</dcterms:modified>
</cp:coreProperties>
</file>